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autoCompressPictures="0"/>
  <mc:AlternateContent xmlns:mc="http://schemas.openxmlformats.org/markup-compatibility/2006">
    <mc:Choice Requires="x15">
      <x15ac:absPath xmlns:x15ac="http://schemas.microsoft.com/office/spreadsheetml/2010/11/ac" url="D:\Sync_HAW\Vorlesungen\2024_SoSe\WI_L\"/>
    </mc:Choice>
  </mc:AlternateContent>
  <xr:revisionPtr revIDLastSave="0" documentId="13_ncr:1_{8632F482-18F2-4318-A931-322B390BFF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ispiel" sheetId="1" r:id="rId1"/>
    <sheet name="Stammdaten" sheetId="2" r:id="rId2"/>
    <sheet name="Tabelle3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2" i="1" l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G22" i="1"/>
  <c r="C66" i="1"/>
  <c r="E66" i="1"/>
  <c r="F66" i="1"/>
  <c r="G66" i="1"/>
  <c r="G11" i="1"/>
  <c r="G18" i="1" s="1"/>
  <c r="L18" i="1"/>
  <c r="L19" i="1" s="1"/>
  <c r="L26" i="1"/>
  <c r="L34" i="1" s="1"/>
  <c r="AD18" i="1"/>
  <c r="AD26" i="1" s="1"/>
  <c r="AD34" i="1" s="1"/>
  <c r="AG18" i="1"/>
  <c r="AG26" i="1" s="1"/>
  <c r="AG34" i="1" s="1"/>
  <c r="AH18" i="1"/>
  <c r="AH26" i="1" s="1"/>
  <c r="AH34" i="1" s="1"/>
  <c r="J12" i="1"/>
  <c r="AD19" i="1" s="1"/>
  <c r="H12" i="1"/>
  <c r="G12" i="1"/>
  <c r="G13" i="1"/>
  <c r="I12" i="1"/>
  <c r="H13" i="1"/>
  <c r="I13" i="1"/>
  <c r="J13" i="1"/>
  <c r="AI18" i="1"/>
  <c r="AI19" i="1" s="1"/>
  <c r="AL18" i="1"/>
  <c r="AM18" i="1"/>
  <c r="AN18" i="1"/>
  <c r="AO18" i="1"/>
  <c r="AO19" i="1" s="1"/>
  <c r="AP18" i="1"/>
  <c r="AP19" i="1" s="1"/>
  <c r="AR18" i="1"/>
  <c r="AR19" i="1" s="1"/>
  <c r="AS18" i="1"/>
  <c r="AS19" i="1" s="1"/>
  <c r="H56" i="1"/>
  <c r="D65" i="1" s="1"/>
  <c r="I56" i="1"/>
  <c r="I61" i="1" s="1"/>
  <c r="J56" i="1"/>
  <c r="J61" i="1" s="1"/>
  <c r="K56" i="1"/>
  <c r="G65" i="1" s="1"/>
  <c r="L56" i="1"/>
  <c r="H65" i="1" s="1"/>
  <c r="M56" i="1"/>
  <c r="I65" i="1" s="1"/>
  <c r="N56" i="1"/>
  <c r="J65" i="1" s="1"/>
  <c r="O56" i="1"/>
  <c r="K65" i="1" s="1"/>
  <c r="P56" i="1"/>
  <c r="L65" i="1" s="1"/>
  <c r="Q56" i="1"/>
  <c r="M65" i="1" s="1"/>
  <c r="R56" i="1"/>
  <c r="N65" i="1" s="1"/>
  <c r="S56" i="1"/>
  <c r="O65" i="1" s="1"/>
  <c r="T56" i="1"/>
  <c r="P65" i="1" s="1"/>
  <c r="U56" i="1"/>
  <c r="Q65" i="1"/>
  <c r="V56" i="1"/>
  <c r="R65" i="1" s="1"/>
  <c r="W56" i="1"/>
  <c r="S65" i="1" s="1"/>
  <c r="X56" i="1"/>
  <c r="T65" i="1" s="1"/>
  <c r="Y56" i="1"/>
  <c r="U65" i="1"/>
  <c r="Z56" i="1"/>
  <c r="Z61" i="1" s="1"/>
  <c r="AA56" i="1"/>
  <c r="W65" i="1" s="1"/>
  <c r="AB56" i="1"/>
  <c r="X65" i="1" s="1"/>
  <c r="AC56" i="1"/>
  <c r="Y65" i="1" s="1"/>
  <c r="AD56" i="1"/>
  <c r="Z65" i="1" s="1"/>
  <c r="AE56" i="1"/>
  <c r="AA65" i="1" s="1"/>
  <c r="AF56" i="1"/>
  <c r="AB65" i="1" s="1"/>
  <c r="AG56" i="1"/>
  <c r="AG61" i="1" s="1"/>
  <c r="AH56" i="1"/>
  <c r="AH61" i="1" s="1"/>
  <c r="AI56" i="1"/>
  <c r="AE65" i="1" s="1"/>
  <c r="AJ56" i="1"/>
  <c r="AF65" i="1" s="1"/>
  <c r="AK56" i="1"/>
  <c r="AK61" i="1" s="1"/>
  <c r="AL56" i="1"/>
  <c r="AH65" i="1" s="1"/>
  <c r="AM56" i="1"/>
  <c r="AI65" i="1" s="1"/>
  <c r="AN56" i="1"/>
  <c r="AJ65" i="1" s="1"/>
  <c r="AO56" i="1"/>
  <c r="AO61" i="1" s="1"/>
  <c r="AP56" i="1"/>
  <c r="AL65" i="1" s="1"/>
  <c r="AQ56" i="1"/>
  <c r="AQ61" i="1" s="1"/>
  <c r="AR56" i="1"/>
  <c r="AN65" i="1" s="1"/>
  <c r="AS56" i="1"/>
  <c r="AS61" i="1" s="1"/>
  <c r="AO65" i="1"/>
  <c r="AJ61" i="1"/>
  <c r="AR61" i="1"/>
  <c r="Q61" i="1"/>
  <c r="U61" i="1"/>
  <c r="W61" i="1"/>
  <c r="Y61" i="1"/>
  <c r="AA61" i="1"/>
  <c r="AE61" i="1"/>
  <c r="G56" i="1"/>
  <c r="G61" i="1" s="1"/>
  <c r="B1" i="2"/>
  <c r="C65" i="1"/>
  <c r="H11" i="1"/>
  <c r="I11" i="1"/>
  <c r="J11" i="1"/>
  <c r="AL26" i="1"/>
  <c r="AL34" i="1" s="1"/>
  <c r="AM26" i="1"/>
  <c r="AM34" i="1" s="1"/>
  <c r="AN19" i="1" l="1"/>
  <c r="AP26" i="1"/>
  <c r="AP34" i="1" s="1"/>
  <c r="M61" i="1"/>
  <c r="AG65" i="1"/>
  <c r="E65" i="1"/>
  <c r="AM19" i="1"/>
  <c r="AC18" i="1"/>
  <c r="AC26" i="1" s="1"/>
  <c r="AC34" i="1" s="1"/>
  <c r="L61" i="1"/>
  <c r="AL19" i="1"/>
  <c r="X18" i="1"/>
  <c r="K61" i="1"/>
  <c r="W18" i="1"/>
  <c r="W26" i="1" s="1"/>
  <c r="W34" i="1" s="1"/>
  <c r="AM61" i="1"/>
  <c r="AK65" i="1"/>
  <c r="V18" i="1"/>
  <c r="V26" i="1" s="1"/>
  <c r="V34" i="1" s="1"/>
  <c r="S18" i="1"/>
  <c r="S26" i="1" s="1"/>
  <c r="S34" i="1" s="1"/>
  <c r="AH19" i="1"/>
  <c r="AC65" i="1"/>
  <c r="AG19" i="1"/>
  <c r="K18" i="1"/>
  <c r="T61" i="1"/>
  <c r="AC19" i="1"/>
  <c r="S19" i="1"/>
  <c r="R18" i="1"/>
  <c r="AI26" i="1"/>
  <c r="AI34" i="1" s="1"/>
  <c r="AS26" i="1"/>
  <c r="AS34" i="1" s="1"/>
  <c r="S61" i="1"/>
  <c r="AK18" i="1"/>
  <c r="AB18" i="1"/>
  <c r="Q18" i="1"/>
  <c r="Q26" i="1" s="1"/>
  <c r="Q34" i="1" s="1"/>
  <c r="AO26" i="1"/>
  <c r="AO34" i="1" s="1"/>
  <c r="AC61" i="1"/>
  <c r="AQ18" i="1"/>
  <c r="AJ18" i="1"/>
  <c r="AA18" i="1"/>
  <c r="N18" i="1"/>
  <c r="AB61" i="1"/>
  <c r="O61" i="1"/>
  <c r="AI61" i="1"/>
  <c r="M18" i="1"/>
  <c r="M26" i="1" s="1"/>
  <c r="M34" i="1" s="1"/>
  <c r="AN26" i="1"/>
  <c r="AN34" i="1" s="1"/>
  <c r="R61" i="1"/>
  <c r="AR26" i="1"/>
  <c r="AR34" i="1" s="1"/>
  <c r="AD61" i="1"/>
  <c r="V61" i="1"/>
  <c r="N61" i="1"/>
  <c r="AP61" i="1"/>
  <c r="AM65" i="1"/>
  <c r="AF18" i="1"/>
  <c r="U18" i="1"/>
  <c r="P18" i="1"/>
  <c r="AN61" i="1"/>
  <c r="AE18" i="1"/>
  <c r="Z18" i="1"/>
  <c r="O18" i="1"/>
  <c r="J18" i="1"/>
  <c r="AL61" i="1"/>
  <c r="AD65" i="1"/>
  <c r="V65" i="1"/>
  <c r="F65" i="1"/>
  <c r="Y18" i="1"/>
  <c r="T18" i="1"/>
  <c r="T26" i="1" s="1"/>
  <c r="T34" i="1" s="1"/>
  <c r="I18" i="1"/>
  <c r="AF61" i="1"/>
  <c r="X61" i="1"/>
  <c r="P61" i="1"/>
  <c r="H61" i="1"/>
  <c r="M19" i="1"/>
  <c r="G26" i="1"/>
  <c r="G19" i="1"/>
  <c r="G20" i="1" s="1"/>
  <c r="G21" i="1" s="1"/>
  <c r="H18" i="1"/>
  <c r="V19" i="1" l="1"/>
  <c r="W19" i="1"/>
  <c r="X26" i="1"/>
  <c r="X34" i="1" s="1"/>
  <c r="X19" i="1"/>
  <c r="K26" i="1"/>
  <c r="K34" i="1" s="1"/>
  <c r="K19" i="1"/>
  <c r="AA26" i="1"/>
  <c r="AA34" i="1" s="1"/>
  <c r="AA19" i="1"/>
  <c r="AK19" i="1"/>
  <c r="AK26" i="1"/>
  <c r="AK34" i="1" s="1"/>
  <c r="AJ19" i="1"/>
  <c r="AJ26" i="1"/>
  <c r="AJ34" i="1" s="1"/>
  <c r="N26" i="1"/>
  <c r="N34" i="1" s="1"/>
  <c r="N19" i="1"/>
  <c r="Q19" i="1"/>
  <c r="AQ26" i="1"/>
  <c r="AQ34" i="1" s="1"/>
  <c r="AQ19" i="1"/>
  <c r="AB19" i="1"/>
  <c r="AB26" i="1"/>
  <c r="AB34" i="1" s="1"/>
  <c r="R26" i="1"/>
  <c r="R34" i="1" s="1"/>
  <c r="R19" i="1"/>
  <c r="AE26" i="1"/>
  <c r="AE34" i="1" s="1"/>
  <c r="AE19" i="1"/>
  <c r="I26" i="1"/>
  <c r="I34" i="1" s="1"/>
  <c r="I19" i="1"/>
  <c r="O26" i="1"/>
  <c r="O34" i="1" s="1"/>
  <c r="O19" i="1"/>
  <c r="Y26" i="1"/>
  <c r="Y34" i="1" s="1"/>
  <c r="Y19" i="1"/>
  <c r="Z26" i="1"/>
  <c r="Z34" i="1" s="1"/>
  <c r="Z19" i="1"/>
  <c r="U26" i="1"/>
  <c r="U34" i="1" s="1"/>
  <c r="U19" i="1"/>
  <c r="T19" i="1"/>
  <c r="AF19" i="1"/>
  <c r="AF26" i="1"/>
  <c r="AF34" i="1" s="1"/>
  <c r="P26" i="1"/>
  <c r="P34" i="1" s="1"/>
  <c r="P19" i="1"/>
  <c r="J19" i="1"/>
  <c r="J26" i="1"/>
  <c r="J34" i="1" s="1"/>
  <c r="G27" i="1"/>
  <c r="G57" i="1"/>
  <c r="H26" i="1"/>
  <c r="H34" i="1" s="1"/>
  <c r="H19" i="1"/>
  <c r="H20" i="1" s="1"/>
  <c r="G34" i="1"/>
  <c r="G39" i="1"/>
  <c r="H39" i="1"/>
  <c r="L39" i="1"/>
  <c r="O39" i="1"/>
  <c r="R39" i="1"/>
  <c r="V39" i="1"/>
  <c r="Z39" i="1"/>
  <c r="AD39" i="1"/>
  <c r="AH39" i="1"/>
  <c r="AL39" i="1"/>
  <c r="AP39" i="1"/>
  <c r="I39" i="1"/>
  <c r="Q39" i="1"/>
  <c r="U39" i="1"/>
  <c r="Y39" i="1"/>
  <c r="AC39" i="1"/>
  <c r="J39" i="1"/>
  <c r="M39" i="1"/>
  <c r="P39" i="1"/>
  <c r="T39" i="1"/>
  <c r="X39" i="1"/>
  <c r="AB39" i="1"/>
  <c r="AF39" i="1"/>
  <c r="AJ39" i="1"/>
  <c r="AN39" i="1"/>
  <c r="AO39" i="1"/>
  <c r="K39" i="1"/>
  <c r="N39" i="1"/>
  <c r="S39" i="1"/>
  <c r="AM39" i="1"/>
  <c r="AQ39" i="1"/>
  <c r="AE39" i="1"/>
  <c r="AK39" i="1"/>
  <c r="AS39" i="1"/>
  <c r="AA39" i="1"/>
  <c r="AI39" i="1"/>
  <c r="W39" i="1"/>
  <c r="AG39" i="1"/>
  <c r="AR39" i="1"/>
  <c r="H21" i="1" l="1"/>
  <c r="H57" i="1" s="1"/>
  <c r="S50" i="1"/>
  <c r="Q50" i="1"/>
  <c r="W50" i="1"/>
  <c r="X50" i="1"/>
  <c r="G40" i="1"/>
  <c r="G41" i="1" s="1"/>
  <c r="G50" i="1"/>
  <c r="AI50" i="1"/>
  <c r="AE50" i="1"/>
  <c r="N50" i="1"/>
  <c r="AJ50" i="1"/>
  <c r="AJ40" i="1"/>
  <c r="T50" i="1"/>
  <c r="AC40" i="1"/>
  <c r="AC50" i="1"/>
  <c r="I40" i="1"/>
  <c r="I50" i="1"/>
  <c r="AD50" i="1"/>
  <c r="O40" i="1"/>
  <c r="O50" i="1"/>
  <c r="AN40" i="1"/>
  <c r="AN50" i="1"/>
  <c r="AH50" i="1"/>
  <c r="AR50" i="1"/>
  <c r="AR40" i="1"/>
  <c r="AQ50" i="1"/>
  <c r="AQ40" i="1"/>
  <c r="K50" i="1"/>
  <c r="AF50" i="1"/>
  <c r="P50" i="1"/>
  <c r="Y50" i="1"/>
  <c r="AP40" i="1"/>
  <c r="AP50" i="1"/>
  <c r="Z50" i="1"/>
  <c r="L50" i="1"/>
  <c r="G60" i="1"/>
  <c r="G58" i="1"/>
  <c r="AK50" i="1"/>
  <c r="J50" i="1"/>
  <c r="R50" i="1"/>
  <c r="AA50" i="1"/>
  <c r="AG50" i="1"/>
  <c r="AS40" i="1"/>
  <c r="AS50" i="1"/>
  <c r="AM40" i="1"/>
  <c r="AM50" i="1"/>
  <c r="AO40" i="1"/>
  <c r="AO50" i="1"/>
  <c r="AB50" i="1"/>
  <c r="M50" i="1"/>
  <c r="U50" i="1"/>
  <c r="AL50" i="1"/>
  <c r="V40" i="1"/>
  <c r="V50" i="1"/>
  <c r="H40" i="1"/>
  <c r="H50" i="1"/>
  <c r="G31" i="1"/>
  <c r="H27" i="1" l="1"/>
  <c r="I20" i="1"/>
  <c r="G32" i="1"/>
  <c r="C68" i="1"/>
  <c r="K59" i="1"/>
  <c r="G69" i="1" s="1"/>
  <c r="J59" i="1"/>
  <c r="F69" i="1" s="1"/>
  <c r="I59" i="1"/>
  <c r="E69" i="1" s="1"/>
  <c r="H59" i="1"/>
  <c r="D69" i="1" s="1"/>
  <c r="G59" i="1"/>
  <c r="C69" i="1" s="1"/>
  <c r="C67" i="1"/>
  <c r="H58" i="1"/>
  <c r="G42" i="1"/>
  <c r="H31" i="1" l="1"/>
  <c r="H32" i="1" s="1"/>
  <c r="H35" i="1" s="1"/>
  <c r="I21" i="1"/>
  <c r="G51" i="1"/>
  <c r="D67" i="1"/>
  <c r="G62" i="1"/>
  <c r="H60" i="1" s="1"/>
  <c r="H41" i="1"/>
  <c r="G35" i="1"/>
  <c r="I27" i="1" l="1"/>
  <c r="I31" i="1" s="1"/>
  <c r="I57" i="1"/>
  <c r="I58" i="1" s="1"/>
  <c r="E67" i="1" s="1"/>
  <c r="J20" i="1"/>
  <c r="J40" i="1"/>
  <c r="H42" i="1"/>
  <c r="I41" i="1" s="1"/>
  <c r="G53" i="1"/>
  <c r="H62" i="1"/>
  <c r="D68" i="1"/>
  <c r="I60" i="1" l="1"/>
  <c r="I62" i="1" s="1"/>
  <c r="J21" i="1"/>
  <c r="I42" i="1"/>
  <c r="I51" i="1" s="1"/>
  <c r="H51" i="1"/>
  <c r="H53" i="1" s="1"/>
  <c r="H66" i="1"/>
  <c r="I32" i="1"/>
  <c r="E68" i="1" l="1"/>
  <c r="J57" i="1"/>
  <c r="J58" i="1" s="1"/>
  <c r="J27" i="1"/>
  <c r="J31" i="1" s="1"/>
  <c r="K20" i="1"/>
  <c r="I53" i="1"/>
  <c r="I66" i="1"/>
  <c r="I35" i="1"/>
  <c r="J41" i="1"/>
  <c r="J32" i="1" l="1"/>
  <c r="J35" i="1" s="1"/>
  <c r="L40" i="1" s="1"/>
  <c r="K21" i="1"/>
  <c r="F67" i="1"/>
  <c r="J60" i="1"/>
  <c r="K40" i="1"/>
  <c r="J42" i="1"/>
  <c r="J66" i="1"/>
  <c r="F68" i="1" l="1"/>
  <c r="J62" i="1"/>
  <c r="K27" i="1"/>
  <c r="K31" i="1" s="1"/>
  <c r="K57" i="1"/>
  <c r="K58" i="1" s="1"/>
  <c r="L20" i="1"/>
  <c r="K41" i="1"/>
  <c r="K42" i="1" s="1"/>
  <c r="K51" i="1" s="1"/>
  <c r="J51" i="1"/>
  <c r="J53" i="1" s="1"/>
  <c r="G67" i="1" l="1"/>
  <c r="L21" i="1"/>
  <c r="K60" i="1"/>
  <c r="K32" i="1"/>
  <c r="K35" i="1" s="1"/>
  <c r="M40" i="1" s="1"/>
  <c r="K66" i="1"/>
  <c r="K53" i="1"/>
  <c r="L41" i="1"/>
  <c r="K62" i="1" l="1"/>
  <c r="G52" i="1" s="1"/>
  <c r="L59" i="1" s="1"/>
  <c r="H69" i="1" s="1"/>
  <c r="G68" i="1"/>
  <c r="L27" i="1"/>
  <c r="L31" i="1" s="1"/>
  <c r="L57" i="1"/>
  <c r="L58" i="1" s="1"/>
  <c r="M20" i="1"/>
  <c r="L42" i="1"/>
  <c r="M41" i="1" s="1"/>
  <c r="L66" i="1"/>
  <c r="L32" i="1" l="1"/>
  <c r="L35" i="1" s="1"/>
  <c r="H67" i="1"/>
  <c r="L60" i="1"/>
  <c r="M21" i="1"/>
  <c r="M42" i="1"/>
  <c r="M51" i="1" s="1"/>
  <c r="L51" i="1"/>
  <c r="L53" i="1" s="1"/>
  <c r="M27" i="1" l="1"/>
  <c r="M31" i="1" s="1"/>
  <c r="M57" i="1"/>
  <c r="M58" i="1" s="1"/>
  <c r="N20" i="1"/>
  <c r="H68" i="1"/>
  <c r="L62" i="1"/>
  <c r="H52" i="1" s="1"/>
  <c r="M59" i="1" s="1"/>
  <c r="I69" i="1" s="1"/>
  <c r="P40" i="1"/>
  <c r="N40" i="1"/>
  <c r="N41" i="1" s="1"/>
  <c r="M53" i="1"/>
  <c r="M66" i="1"/>
  <c r="M60" i="1" l="1"/>
  <c r="M62" i="1" s="1"/>
  <c r="I52" i="1" s="1"/>
  <c r="N59" i="1" s="1"/>
  <c r="J69" i="1" s="1"/>
  <c r="N21" i="1"/>
  <c r="I67" i="1"/>
  <c r="M32" i="1"/>
  <c r="M35" i="1" s="1"/>
  <c r="N66" i="1"/>
  <c r="N42" i="1"/>
  <c r="I68" i="1" l="1"/>
  <c r="O20" i="1"/>
  <c r="O21" i="1" s="1"/>
  <c r="N27" i="1"/>
  <c r="N31" i="1" s="1"/>
  <c r="N57" i="1"/>
  <c r="N51" i="1"/>
  <c r="N53" i="1" s="1"/>
  <c r="O41" i="1"/>
  <c r="P20" i="1" l="1"/>
  <c r="P21" i="1" s="1"/>
  <c r="N60" i="1"/>
  <c r="N58" i="1"/>
  <c r="N32" i="1"/>
  <c r="N35" i="1" s="1"/>
  <c r="O57" i="1"/>
  <c r="O27" i="1"/>
  <c r="O42" i="1"/>
  <c r="O51" i="1" s="1"/>
  <c r="O53" i="1" s="1"/>
  <c r="O66" i="1"/>
  <c r="O31" i="1" l="1"/>
  <c r="O32" i="1" s="1"/>
  <c r="O35" i="1" s="1"/>
  <c r="Q40" i="1" s="1"/>
  <c r="Q20" i="1"/>
  <c r="P41" i="1"/>
  <c r="P42" i="1" s="1"/>
  <c r="P51" i="1" s="1"/>
  <c r="P53" i="1" s="1"/>
  <c r="O58" i="1"/>
  <c r="J67" i="1"/>
  <c r="P57" i="1"/>
  <c r="P27" i="1"/>
  <c r="J68" i="1"/>
  <c r="N62" i="1"/>
  <c r="J52" i="1" s="1"/>
  <c r="O59" i="1" s="1"/>
  <c r="K69" i="1" s="1"/>
  <c r="P66" i="1"/>
  <c r="P31" i="1" l="1"/>
  <c r="P32" i="1" s="1"/>
  <c r="P35" i="1" s="1"/>
  <c r="R40" i="1" s="1"/>
  <c r="O60" i="1"/>
  <c r="K68" i="1" s="1"/>
  <c r="Q41" i="1"/>
  <c r="Q42" i="1" s="1"/>
  <c r="Q51" i="1" s="1"/>
  <c r="Q53" i="1" s="1"/>
  <c r="P58" i="1"/>
  <c r="K67" i="1"/>
  <c r="Q21" i="1"/>
  <c r="Q66" i="1"/>
  <c r="O62" i="1" l="1"/>
  <c r="P60" i="1" s="1"/>
  <c r="L68" i="1" s="1"/>
  <c r="R20" i="1"/>
  <c r="L67" i="1"/>
  <c r="Q27" i="1"/>
  <c r="Q31" i="1" s="1"/>
  <c r="Q32" i="1" s="1"/>
  <c r="Q35" i="1" s="1"/>
  <c r="S40" i="1" s="1"/>
  <c r="Q57" i="1"/>
  <c r="Q58" i="1" s="1"/>
  <c r="M67" i="1" s="1"/>
  <c r="R66" i="1"/>
  <c r="R41" i="1"/>
  <c r="K52" i="1" l="1"/>
  <c r="P59" i="1" s="1"/>
  <c r="L69" i="1" s="1"/>
  <c r="R21" i="1"/>
  <c r="R42" i="1"/>
  <c r="R51" i="1" s="1"/>
  <c r="R53" i="1" s="1"/>
  <c r="P62" i="1" l="1"/>
  <c r="Q60" i="1" s="1"/>
  <c r="S20" i="1"/>
  <c r="S21" i="1" s="1"/>
  <c r="R57" i="1"/>
  <c r="R58" i="1" s="1"/>
  <c r="N67" i="1" s="1"/>
  <c r="R27" i="1"/>
  <c r="R31" i="1" s="1"/>
  <c r="R32" i="1" s="1"/>
  <c r="R35" i="1" s="1"/>
  <c r="T40" i="1" s="1"/>
  <c r="S41" i="1"/>
  <c r="S42" i="1" s="1"/>
  <c r="S51" i="1" s="1"/>
  <c r="S53" i="1" s="1"/>
  <c r="L52" i="1"/>
  <c r="S66" i="1"/>
  <c r="T20" i="1" l="1"/>
  <c r="T21" i="1" s="1"/>
  <c r="S57" i="1"/>
  <c r="S58" i="1" s="1"/>
  <c r="O67" i="1" s="1"/>
  <c r="S27" i="1"/>
  <c r="S31" i="1" s="1"/>
  <c r="S32" i="1" s="1"/>
  <c r="S35" i="1" s="1"/>
  <c r="T41" i="1"/>
  <c r="T42" i="1" s="1"/>
  <c r="T51" i="1" s="1"/>
  <c r="T53" i="1" s="1"/>
  <c r="T66" i="1"/>
  <c r="M68" i="1"/>
  <c r="Q59" i="1"/>
  <c r="M69" i="1" s="1"/>
  <c r="U20" i="1" l="1"/>
  <c r="W40" i="1"/>
  <c r="U40" i="1"/>
  <c r="U41" i="1" s="1"/>
  <c r="U21" i="1"/>
  <c r="T27" i="1"/>
  <c r="T31" i="1" s="1"/>
  <c r="T57" i="1"/>
  <c r="T58" i="1" s="1"/>
  <c r="U66" i="1"/>
  <c r="Q62" i="1"/>
  <c r="P67" i="1" l="1"/>
  <c r="V20" i="1"/>
  <c r="U27" i="1"/>
  <c r="U57" i="1"/>
  <c r="U58" i="1" s="1"/>
  <c r="Q67" i="1" s="1"/>
  <c r="T32" i="1"/>
  <c r="T35" i="1" s="1"/>
  <c r="M52" i="1"/>
  <c r="R60" i="1"/>
  <c r="U42" i="1"/>
  <c r="U51" i="1" s="1"/>
  <c r="U53" i="1" s="1"/>
  <c r="V21" i="1" l="1"/>
  <c r="U31" i="1"/>
  <c r="U32" i="1" s="1"/>
  <c r="U35" i="1" s="1"/>
  <c r="V41" i="1"/>
  <c r="V42" i="1" s="1"/>
  <c r="R59" i="1"/>
  <c r="N69" i="1" s="1"/>
  <c r="V66" i="1"/>
  <c r="N68" i="1"/>
  <c r="W20" i="1" l="1"/>
  <c r="W21" i="1"/>
  <c r="V27" i="1"/>
  <c r="V31" i="1" s="1"/>
  <c r="V32" i="1" s="1"/>
  <c r="V35" i="1" s="1"/>
  <c r="V57" i="1"/>
  <c r="V58" i="1" s="1"/>
  <c r="R67" i="1" s="1"/>
  <c r="V51" i="1"/>
  <c r="V53" i="1" s="1"/>
  <c r="W66" i="1" s="1"/>
  <c r="W41" i="1"/>
  <c r="W42" i="1" s="1"/>
  <c r="W51" i="1" s="1"/>
  <c r="R62" i="1"/>
  <c r="X20" i="1" l="1"/>
  <c r="X21" i="1" s="1"/>
  <c r="W53" i="1"/>
  <c r="X66" i="1" s="1"/>
  <c r="W57" i="1"/>
  <c r="W58" i="1" s="1"/>
  <c r="S67" i="1" s="1"/>
  <c r="W27" i="1"/>
  <c r="W31" i="1" s="1"/>
  <c r="N52" i="1"/>
  <c r="S60" i="1"/>
  <c r="Y20" i="1" l="1"/>
  <c r="Y21" i="1" s="1"/>
  <c r="X27" i="1"/>
  <c r="X57" i="1"/>
  <c r="X58" i="1" s="1"/>
  <c r="T67" i="1" s="1"/>
  <c r="W32" i="1"/>
  <c r="W35" i="1" s="1"/>
  <c r="Y40" i="1" s="1"/>
  <c r="O68" i="1"/>
  <c r="S59" i="1"/>
  <c r="O69" i="1" s="1"/>
  <c r="Z20" i="1" l="1"/>
  <c r="Z21" i="1"/>
  <c r="Y57" i="1"/>
  <c r="Y58" i="1" s="1"/>
  <c r="U67" i="1" s="1"/>
  <c r="Y27" i="1"/>
  <c r="S62" i="1"/>
  <c r="X31" i="1"/>
  <c r="AA20" i="1" l="1"/>
  <c r="AA21" i="1" s="1"/>
  <c r="Z27" i="1"/>
  <c r="Z57" i="1"/>
  <c r="Z58" i="1" s="1"/>
  <c r="X32" i="1"/>
  <c r="X35" i="1" s="1"/>
  <c r="Z40" i="1" s="1"/>
  <c r="O52" i="1"/>
  <c r="T60" i="1"/>
  <c r="AB20" i="1" l="1"/>
  <c r="AB21" i="1" s="1"/>
  <c r="V67" i="1"/>
  <c r="AA27" i="1"/>
  <c r="AA57" i="1"/>
  <c r="AA58" i="1" s="1"/>
  <c r="W67" i="1" s="1"/>
  <c r="P68" i="1"/>
  <c r="T59" i="1"/>
  <c r="P69" i="1" s="1"/>
  <c r="Y31" i="1"/>
  <c r="AC20" i="1" l="1"/>
  <c r="AC21" i="1" s="1"/>
  <c r="AB27" i="1"/>
  <c r="AB57" i="1"/>
  <c r="AB58" i="1" s="1"/>
  <c r="T62" i="1"/>
  <c r="Y32" i="1"/>
  <c r="Y35" i="1" s="1"/>
  <c r="AA40" i="1" s="1"/>
  <c r="AC57" i="1" l="1"/>
  <c r="AC58" i="1" s="1"/>
  <c r="Y67" i="1" s="1"/>
  <c r="AC27" i="1"/>
  <c r="AD20" i="1"/>
  <c r="X67" i="1"/>
  <c r="Z31" i="1"/>
  <c r="U60" i="1"/>
  <c r="P52" i="1"/>
  <c r="AD21" i="1" l="1"/>
  <c r="U59" i="1"/>
  <c r="Q69" i="1" s="1"/>
  <c r="Q68" i="1"/>
  <c r="Z32" i="1"/>
  <c r="Z35" i="1" s="1"/>
  <c r="AE20" i="1" l="1"/>
  <c r="AE21" i="1" s="1"/>
  <c r="AE27" i="1" s="1"/>
  <c r="AD40" i="1"/>
  <c r="AB40" i="1"/>
  <c r="AD57" i="1"/>
  <c r="AD58" i="1" s="1"/>
  <c r="Z67" i="1" s="1"/>
  <c r="AD27" i="1"/>
  <c r="U62" i="1"/>
  <c r="AA31" i="1"/>
  <c r="AE57" i="1" l="1"/>
  <c r="AE58" i="1" s="1"/>
  <c r="AA67" i="1" s="1"/>
  <c r="AF20" i="1"/>
  <c r="AF21" i="1" s="1"/>
  <c r="AF57" i="1" s="1"/>
  <c r="AG20" i="1"/>
  <c r="AG21" i="1" s="1"/>
  <c r="AA32" i="1"/>
  <c r="AA35" i="1" s="1"/>
  <c r="Q52" i="1"/>
  <c r="V60" i="1"/>
  <c r="AF27" i="1" l="1"/>
  <c r="AF58" i="1"/>
  <c r="AB67" i="1" s="1"/>
  <c r="R68" i="1"/>
  <c r="AG27" i="1"/>
  <c r="AG57" i="1"/>
  <c r="V59" i="1"/>
  <c r="R69" i="1" s="1"/>
  <c r="AB31" i="1"/>
  <c r="AH20" i="1"/>
  <c r="AG58" i="1" l="1"/>
  <c r="AC67" i="1" s="1"/>
  <c r="AH21" i="1"/>
  <c r="V62" i="1"/>
  <c r="AB32" i="1"/>
  <c r="AB35" i="1" s="1"/>
  <c r="R52" i="1" l="1"/>
  <c r="W60" i="1"/>
  <c r="AC31" i="1"/>
  <c r="AI20" i="1"/>
  <c r="AH27" i="1"/>
  <c r="AH57" i="1"/>
  <c r="AH58" i="1" s="1"/>
  <c r="AD67" i="1" l="1"/>
  <c r="AI21" i="1"/>
  <c r="AC32" i="1"/>
  <c r="AC35" i="1" s="1"/>
  <c r="S68" i="1"/>
  <c r="W59" i="1"/>
  <c r="S69" i="1" s="1"/>
  <c r="AJ20" i="1" l="1"/>
  <c r="AJ21" i="1" s="1"/>
  <c r="W62" i="1"/>
  <c r="AI27" i="1"/>
  <c r="AI57" i="1"/>
  <c r="AI58" i="1" s="1"/>
  <c r="AD31" i="1"/>
  <c r="AJ27" i="1" l="1"/>
  <c r="AJ57" i="1"/>
  <c r="AJ58" i="1" s="1"/>
  <c r="AD32" i="1"/>
  <c r="AD35" i="1" s="1"/>
  <c r="AF40" i="1" s="1"/>
  <c r="AK20" i="1"/>
  <c r="AE67" i="1"/>
  <c r="X60" i="1"/>
  <c r="S52" i="1"/>
  <c r="AF67" i="1" l="1"/>
  <c r="T68" i="1"/>
  <c r="AE31" i="1"/>
  <c r="X59" i="1"/>
  <c r="T69" i="1" s="1"/>
  <c r="AK21" i="1"/>
  <c r="AL20" i="1" l="1"/>
  <c r="AL21" i="1" s="1"/>
  <c r="X62" i="1"/>
  <c r="AK27" i="1"/>
  <c r="AK57" i="1"/>
  <c r="AK58" i="1" s="1"/>
  <c r="AE32" i="1"/>
  <c r="AE35" i="1" s="1"/>
  <c r="AG40" i="1" s="1"/>
  <c r="AF31" i="1" l="1"/>
  <c r="AL57" i="1"/>
  <c r="AL58" i="1" s="1"/>
  <c r="AL27" i="1"/>
  <c r="AM20" i="1"/>
  <c r="AG67" i="1"/>
  <c r="Y60" i="1"/>
  <c r="T52" i="1"/>
  <c r="AH67" i="1" l="1"/>
  <c r="AM21" i="1"/>
  <c r="Y59" i="1"/>
  <c r="U69" i="1" s="1"/>
  <c r="U68" i="1"/>
  <c r="AF32" i="1"/>
  <c r="AF35" i="1" s="1"/>
  <c r="AH40" i="1" s="1"/>
  <c r="AN20" i="1" l="1"/>
  <c r="AN21" i="1" s="1"/>
  <c r="AM57" i="1"/>
  <c r="AM58" i="1" s="1"/>
  <c r="AM27" i="1"/>
  <c r="Y62" i="1"/>
  <c r="AG31" i="1"/>
  <c r="AO20" i="1" l="1"/>
  <c r="AO21" i="1" s="1"/>
  <c r="AG32" i="1"/>
  <c r="AG35" i="1" s="1"/>
  <c r="U52" i="1"/>
  <c r="Z60" i="1"/>
  <c r="AI67" i="1"/>
  <c r="AN57" i="1"/>
  <c r="AN58" i="1" s="1"/>
  <c r="AN27" i="1"/>
  <c r="AP20" i="1" l="1"/>
  <c r="AP21" i="1" s="1"/>
  <c r="AK40" i="1"/>
  <c r="AI40" i="1"/>
  <c r="AH31" i="1"/>
  <c r="AH32" i="1" s="1"/>
  <c r="AH35" i="1" s="1"/>
  <c r="AJ67" i="1"/>
  <c r="V68" i="1"/>
  <c r="Z59" i="1"/>
  <c r="V69" i="1" s="1"/>
  <c r="AO57" i="1"/>
  <c r="AO58" i="1" s="1"/>
  <c r="AO27" i="1"/>
  <c r="AQ20" i="1" l="1"/>
  <c r="AQ21" i="1" s="1"/>
  <c r="AI31" i="1"/>
  <c r="AI32" i="1" s="1"/>
  <c r="AK67" i="1"/>
  <c r="AP27" i="1"/>
  <c r="AP57" i="1"/>
  <c r="AP58" i="1" s="1"/>
  <c r="AL40" i="1"/>
  <c r="X40" i="1"/>
  <c r="X41" i="1" s="1"/>
  <c r="AE40" i="1"/>
  <c r="Z62" i="1"/>
  <c r="AR20" i="1" l="1"/>
  <c r="AR21" i="1" s="1"/>
  <c r="AI35" i="1"/>
  <c r="AJ31" i="1"/>
  <c r="AJ32" i="1" s="1"/>
  <c r="AJ35" i="1" s="1"/>
  <c r="AL67" i="1"/>
  <c r="AA60" i="1"/>
  <c r="V52" i="1"/>
  <c r="AQ57" i="1"/>
  <c r="AQ58" i="1" s="1"/>
  <c r="AQ27" i="1"/>
  <c r="X42" i="1"/>
  <c r="X51" i="1" s="1"/>
  <c r="X53" i="1" s="1"/>
  <c r="Y41" i="1" l="1"/>
  <c r="Y42" i="1" s="1"/>
  <c r="Y51" i="1" s="1"/>
  <c r="Y53" i="1" s="1"/>
  <c r="AM67" i="1"/>
  <c r="AA59" i="1"/>
  <c r="W69" i="1" s="1"/>
  <c r="Y66" i="1"/>
  <c r="AK31" i="1"/>
  <c r="W68" i="1"/>
  <c r="AR27" i="1"/>
  <c r="AR57" i="1"/>
  <c r="AR58" i="1" s="1"/>
  <c r="AS20" i="1"/>
  <c r="AS21" i="1" s="1"/>
  <c r="Z41" i="1" l="1"/>
  <c r="Z42" i="1" s="1"/>
  <c r="Z51" i="1" s="1"/>
  <c r="Z53" i="1" s="1"/>
  <c r="AN67" i="1"/>
  <c r="Z66" i="1"/>
  <c r="AS57" i="1"/>
  <c r="AS58" i="1" s="1"/>
  <c r="AO67" i="1" s="1"/>
  <c r="AS27" i="1"/>
  <c r="D28" i="1" s="1"/>
  <c r="D22" i="1"/>
  <c r="AK32" i="1"/>
  <c r="AK35" i="1" s="1"/>
  <c r="AA62" i="1"/>
  <c r="AA41" i="1" l="1"/>
  <c r="AA42" i="1" s="1"/>
  <c r="AA51" i="1" s="1"/>
  <c r="AA53" i="1" s="1"/>
  <c r="AA66" i="1"/>
  <c r="AB60" i="1"/>
  <c r="W52" i="1"/>
  <c r="AL31" i="1"/>
  <c r="AB66" i="1" l="1"/>
  <c r="AB59" i="1"/>
  <c r="X69" i="1" s="1"/>
  <c r="X68" i="1"/>
  <c r="AB41" i="1"/>
  <c r="AL32" i="1"/>
  <c r="AL35" i="1" s="1"/>
  <c r="AB62" i="1" l="1"/>
  <c r="AB42" i="1"/>
  <c r="AB51" i="1" s="1"/>
  <c r="AB53" i="1" s="1"/>
  <c r="AM31" i="1"/>
  <c r="AM32" i="1" l="1"/>
  <c r="AM35" i="1" s="1"/>
  <c r="AC41" i="1"/>
  <c r="AC66" i="1"/>
  <c r="AC60" i="1"/>
  <c r="X52" i="1"/>
  <c r="AC59" i="1" l="1"/>
  <c r="Y69" i="1" s="1"/>
  <c r="AC42" i="1"/>
  <c r="AC51" i="1" s="1"/>
  <c r="AC53" i="1" s="1"/>
  <c r="Y68" i="1"/>
  <c r="AN31" i="1"/>
  <c r="AN32" i="1" l="1"/>
  <c r="AN35" i="1" s="1"/>
  <c r="AD41" i="1"/>
  <c r="AC62" i="1"/>
  <c r="AD66" i="1"/>
  <c r="Y52" i="1" l="1"/>
  <c r="AD60" i="1"/>
  <c r="AD42" i="1"/>
  <c r="AD51" i="1" s="1"/>
  <c r="AD53" i="1" s="1"/>
  <c r="AO31" i="1"/>
  <c r="AO32" i="1" l="1"/>
  <c r="AO35" i="1" s="1"/>
  <c r="AE41" i="1"/>
  <c r="AE66" i="1"/>
  <c r="Z68" i="1"/>
  <c r="AD59" i="1"/>
  <c r="Z69" i="1" s="1"/>
  <c r="AD62" i="1" l="1"/>
  <c r="Z52" i="1" s="1"/>
  <c r="AE59" i="1" s="1"/>
  <c r="AA69" i="1" s="1"/>
  <c r="AP31" i="1"/>
  <c r="AP32" i="1" s="1"/>
  <c r="AP35" i="1" s="1"/>
  <c r="AE42" i="1"/>
  <c r="AE51" i="1" s="1"/>
  <c r="AE53" i="1" s="1"/>
  <c r="AE60" i="1" l="1"/>
  <c r="AE62" i="1" s="1"/>
  <c r="AA52" i="1" s="1"/>
  <c r="AF66" i="1"/>
  <c r="AQ31" i="1"/>
  <c r="AF41" i="1"/>
  <c r="AA68" i="1" l="1"/>
  <c r="AF42" i="1"/>
  <c r="AF51" i="1" s="1"/>
  <c r="AF53" i="1" s="1"/>
  <c r="AF60" i="1"/>
  <c r="AF59" i="1"/>
  <c r="AB69" i="1" s="1"/>
  <c r="AQ32" i="1"/>
  <c r="AQ35" i="1" s="1"/>
  <c r="AR31" i="1" l="1"/>
  <c r="AF62" i="1"/>
  <c r="AB52" i="1" s="1"/>
  <c r="AB68" i="1"/>
  <c r="AG66" i="1"/>
  <c r="AG41" i="1"/>
  <c r="AG42" i="1" l="1"/>
  <c r="AG51" i="1" s="1"/>
  <c r="AG53" i="1" s="1"/>
  <c r="AG60" i="1"/>
  <c r="AG59" i="1"/>
  <c r="AC69" i="1" s="1"/>
  <c r="AR32" i="1"/>
  <c r="AR35" i="1" s="1"/>
  <c r="AG62" i="1" l="1"/>
  <c r="AC52" i="1" s="1"/>
  <c r="AC68" i="1"/>
  <c r="AS31" i="1"/>
  <c r="AS32" i="1" s="1"/>
  <c r="AH41" i="1"/>
  <c r="AH66" i="1"/>
  <c r="AH60" i="1" l="1"/>
  <c r="AD68" i="1" s="1"/>
  <c r="AH42" i="1"/>
  <c r="AH51" i="1" s="1"/>
  <c r="AH53" i="1" s="1"/>
  <c r="AS35" i="1"/>
  <c r="D35" i="1" s="1"/>
  <c r="D33" i="1"/>
  <c r="AH59" i="1"/>
  <c r="AD69" i="1" s="1"/>
  <c r="AH62" i="1" l="1"/>
  <c r="AI41" i="1"/>
  <c r="AI66" i="1"/>
  <c r="AI42" i="1" l="1"/>
  <c r="AI51" i="1" s="1"/>
  <c r="AI53" i="1" s="1"/>
  <c r="AI60" i="1"/>
  <c r="AD52" i="1"/>
  <c r="AE68" i="1" l="1"/>
  <c r="AI59" i="1"/>
  <c r="AE69" i="1" s="1"/>
  <c r="AJ66" i="1"/>
  <c r="AJ41" i="1"/>
  <c r="AJ42" i="1" l="1"/>
  <c r="AJ51" i="1" s="1"/>
  <c r="AJ53" i="1" s="1"/>
  <c r="AI62" i="1"/>
  <c r="AJ60" i="1" l="1"/>
  <c r="AE52" i="1"/>
  <c r="AK66" i="1"/>
  <c r="AK41" i="1"/>
  <c r="AJ59" i="1" l="1"/>
  <c r="AF69" i="1" s="1"/>
  <c r="AK42" i="1"/>
  <c r="AK51" i="1" s="1"/>
  <c r="AK53" i="1" s="1"/>
  <c r="AF68" i="1"/>
  <c r="AJ62" i="1" l="1"/>
  <c r="AL41" i="1"/>
  <c r="AL42" i="1" s="1"/>
  <c r="AL51" i="1" s="1"/>
  <c r="AL53" i="1" s="1"/>
  <c r="AL66" i="1"/>
  <c r="AK60" i="1" l="1"/>
  <c r="AG68" i="1" s="1"/>
  <c r="AF52" i="1"/>
  <c r="AK59" i="1" s="1"/>
  <c r="AG69" i="1" s="1"/>
  <c r="AM66" i="1"/>
  <c r="AM41" i="1"/>
  <c r="AK62" i="1" l="1"/>
  <c r="AL60" i="1" s="1"/>
  <c r="AG52" i="1"/>
  <c r="AM42" i="1"/>
  <c r="AM51" i="1" s="1"/>
  <c r="AM53" i="1" s="1"/>
  <c r="AL59" i="1" l="1"/>
  <c r="AH69" i="1" s="1"/>
  <c r="AN66" i="1"/>
  <c r="AN41" i="1"/>
  <c r="AH68" i="1"/>
  <c r="AN42" i="1" l="1"/>
  <c r="AN51" i="1" s="1"/>
  <c r="AN53" i="1" s="1"/>
  <c r="AL62" i="1"/>
  <c r="AH52" i="1" l="1"/>
  <c r="AM60" i="1"/>
  <c r="AO41" i="1"/>
  <c r="AO66" i="1"/>
  <c r="AO42" i="1" l="1"/>
  <c r="AO51" i="1" s="1"/>
  <c r="AO53" i="1" s="1"/>
  <c r="AI68" i="1"/>
  <c r="AM59" i="1"/>
  <c r="AI69" i="1" s="1"/>
  <c r="AM62" i="1" l="1"/>
  <c r="AP41" i="1"/>
  <c r="AP42" i="1" l="1"/>
  <c r="AP51" i="1" s="1"/>
  <c r="AP53" i="1" s="1"/>
  <c r="AI52" i="1"/>
  <c r="AN60" i="1"/>
  <c r="AJ68" i="1" l="1"/>
  <c r="AN59" i="1"/>
  <c r="AJ69" i="1" s="1"/>
  <c r="AQ41" i="1"/>
  <c r="AQ42" i="1" l="1"/>
  <c r="AQ51" i="1" s="1"/>
  <c r="AQ53" i="1" s="1"/>
  <c r="AN62" i="1"/>
  <c r="AR41" i="1" l="1"/>
  <c r="AO60" i="1"/>
  <c r="AJ52" i="1"/>
  <c r="AO59" i="1" l="1"/>
  <c r="AK69" i="1" s="1"/>
  <c r="AK68" i="1"/>
  <c r="AR42" i="1"/>
  <c r="AR51" i="1" s="1"/>
  <c r="AR53" i="1" s="1"/>
  <c r="AS41" i="1" l="1"/>
  <c r="AS42" i="1" s="1"/>
  <c r="AS51" i="1" s="1"/>
  <c r="AS53" i="1" s="1"/>
  <c r="AO62" i="1"/>
  <c r="D43" i="1" l="1"/>
  <c r="AK52" i="1"/>
  <c r="AP60" i="1"/>
  <c r="AP59" i="1" l="1"/>
  <c r="AL69" i="1" s="1"/>
  <c r="AL68" i="1"/>
  <c r="AP62" i="1" l="1"/>
  <c r="AQ60" i="1" l="1"/>
  <c r="AM68" i="1" s="1"/>
  <c r="AL52" i="1"/>
  <c r="AQ59" i="1" s="1"/>
  <c r="AM69" i="1" s="1"/>
  <c r="AQ62" i="1" l="1"/>
  <c r="AR60" i="1" s="1"/>
  <c r="AM52" i="1"/>
  <c r="AN68" i="1" l="1"/>
  <c r="AR59" i="1"/>
  <c r="AN69" i="1" s="1"/>
  <c r="AR62" i="1" l="1"/>
  <c r="AS60" i="1" l="1"/>
  <c r="AO68" i="1" s="1"/>
  <c r="AN52" i="1"/>
  <c r="AS59" i="1" s="1"/>
  <c r="AO69" i="1" s="1"/>
  <c r="AS62" i="1" l="1"/>
  <c r="AO52" i="1" s="1"/>
  <c r="AP52" i="1" s="1"/>
  <c r="AQ52" i="1" s="1"/>
  <c r="AR52" i="1" s="1"/>
  <c r="AS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wagenitz</author>
  </authors>
  <commentList>
    <comment ref="G22" authorId="0" shapeId="0" xr:uid="{F4C308E9-7633-4CC9-BAB7-68CE82388F8C}">
      <text>
        <r>
          <rPr>
            <b/>
            <sz val="9"/>
            <color indexed="81"/>
            <rFont val="Segoe UI"/>
            <family val="2"/>
          </rPr>
          <t>wagenitz:</t>
        </r>
        <r>
          <rPr>
            <sz val="9"/>
            <color indexed="81"/>
            <rFont val="Segoe UI"/>
            <family val="2"/>
          </rPr>
          <t xml:space="preserve">
WVERWEIS und XVERWEIS
</t>
        </r>
      </text>
    </comment>
  </commentList>
</comments>
</file>

<file path=xl/sharedStrings.xml><?xml version="1.0" encoding="utf-8"?>
<sst xmlns="http://schemas.openxmlformats.org/spreadsheetml/2006/main" count="57" uniqueCount="46">
  <si>
    <t>Startdatum Produktion</t>
  </si>
  <si>
    <t>Wochentag</t>
  </si>
  <si>
    <t>MTB Allrounder</t>
  </si>
  <si>
    <t>Programmplanung auf Wochen</t>
  </si>
  <si>
    <t>KW</t>
  </si>
  <si>
    <t>Vorlaufzeit Zulieferer China</t>
  </si>
  <si>
    <t>Auftragseingang beim Zulieferer in China</t>
  </si>
  <si>
    <t>Tage Auftragseingang bis Produktion</t>
  </si>
  <si>
    <t xml:space="preserve">Produzierte Mengen </t>
  </si>
  <si>
    <t>gehen in den Warenausgang des Zulieferers</t>
  </si>
  <si>
    <t>Bestand Lieferant</t>
  </si>
  <si>
    <t>Versand Lieferant</t>
  </si>
  <si>
    <t>Transportzeit zum Hafen (Arbeitstage)</t>
  </si>
  <si>
    <t>Datum</t>
  </si>
  <si>
    <t>Enddatum Transport</t>
  </si>
  <si>
    <t>Losgröße Zulieferer</t>
  </si>
  <si>
    <t>Losgröße Schiff</t>
  </si>
  <si>
    <t>Bestand</t>
  </si>
  <si>
    <t>Versand</t>
  </si>
  <si>
    <t>Verteilung Woche -&gt; Tage</t>
  </si>
  <si>
    <t>Hafen in China</t>
  </si>
  <si>
    <t>Zugang</t>
  </si>
  <si>
    <t>Weitere Transportabschnitte</t>
  </si>
  <si>
    <t>Wareneingang Fahrradhersteller</t>
  </si>
  <si>
    <t>Transportzeit Hafen China bis WE Dortmund</t>
  </si>
  <si>
    <t>Vorgabe für Monat</t>
  </si>
  <si>
    <t>Produktionstag</t>
  </si>
  <si>
    <t>Zielvorgabe Fahrräder</t>
  </si>
  <si>
    <t>Produktion beim Fahrradhersteller</t>
  </si>
  <si>
    <t>Produktion</t>
  </si>
  <si>
    <t>Kapazität</t>
  </si>
  <si>
    <t>Kumulierte Lieferung</t>
  </si>
  <si>
    <t>Kumulierter Bedarf</t>
  </si>
  <si>
    <t>Rückstand</t>
  </si>
  <si>
    <t>Datum +2 AT</t>
  </si>
  <si>
    <t>Lieferung</t>
  </si>
  <si>
    <t>Bedarf</t>
  </si>
  <si>
    <t>Auswertung</t>
  </si>
  <si>
    <t>Summe Zeile:</t>
  </si>
  <si>
    <t>Kapazität pro Woche</t>
  </si>
  <si>
    <t xml:space="preserve">Stand </t>
  </si>
  <si>
    <t>Aktuelles Datum</t>
  </si>
  <si>
    <t>Verbucht</t>
  </si>
  <si>
    <t>Zusatzbedarf (AddOn)</t>
  </si>
  <si>
    <t>Zeile</t>
  </si>
  <si>
    <t>Zusatzbedarf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</si>
</sst>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2" fontId="0" fillId="0" borderId="0" xfId="0" applyNumberFormat="1"/>
    <xf numFmtId="0" fontId="3" fillId="0" borderId="0" xfId="0" applyFont="1"/>
    <xf numFmtId="0" fontId="0" fillId="0" borderId="8" xfId="0" applyBorder="1"/>
    <xf numFmtId="0" fontId="0" fillId="0" borderId="9" xfId="0" applyBorder="1"/>
    <xf numFmtId="0" fontId="0" fillId="5" borderId="0" xfId="0" applyFill="1"/>
    <xf numFmtId="14" fontId="0" fillId="5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Beispiel!$B$66</c:f>
              <c:strCache>
                <c:ptCount val="1"/>
                <c:pt idx="0">
                  <c:v>Lieferung</c:v>
                </c:pt>
              </c:strCache>
            </c:strRef>
          </c:tx>
          <c:marker>
            <c:symbol val="none"/>
          </c:marker>
          <c:cat>
            <c:numRef>
              <c:f>Beispiel!$C$65:$AO$65</c:f>
              <c:numCache>
                <c:formatCode>m/d/yyyy</c:formatCode>
                <c:ptCount val="39"/>
                <c:pt idx="0">
                  <c:v>46209</c:v>
                </c:pt>
                <c:pt idx="1">
                  <c:v>46210</c:v>
                </c:pt>
                <c:pt idx="2">
                  <c:v>46211</c:v>
                </c:pt>
                <c:pt idx="3">
                  <c:v>46212</c:v>
                </c:pt>
                <c:pt idx="4">
                  <c:v>46213</c:v>
                </c:pt>
                <c:pt idx="5">
                  <c:v>46214</c:v>
                </c:pt>
                <c:pt idx="6">
                  <c:v>46215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46222</c:v>
                </c:pt>
                <c:pt idx="14">
                  <c:v>46223</c:v>
                </c:pt>
                <c:pt idx="15">
                  <c:v>46224</c:v>
                </c:pt>
                <c:pt idx="16">
                  <c:v>46225</c:v>
                </c:pt>
                <c:pt idx="17">
                  <c:v>46226</c:v>
                </c:pt>
                <c:pt idx="18">
                  <c:v>46227</c:v>
                </c:pt>
                <c:pt idx="19">
                  <c:v>46228</c:v>
                </c:pt>
                <c:pt idx="20">
                  <c:v>46229</c:v>
                </c:pt>
                <c:pt idx="21">
                  <c:v>46230</c:v>
                </c:pt>
                <c:pt idx="22">
                  <c:v>46231</c:v>
                </c:pt>
                <c:pt idx="23">
                  <c:v>46232</c:v>
                </c:pt>
                <c:pt idx="24">
                  <c:v>46233</c:v>
                </c:pt>
                <c:pt idx="25">
                  <c:v>46234</c:v>
                </c:pt>
                <c:pt idx="26">
                  <c:v>46235</c:v>
                </c:pt>
                <c:pt idx="27">
                  <c:v>46236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46242</c:v>
                </c:pt>
                <c:pt idx="34">
                  <c:v>46243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</c:numCache>
            </c:numRef>
          </c:cat>
          <c:val>
            <c:numRef>
              <c:f>Beispiel!$C$66:$AO$66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D-9F41-A868-DDF27DFF988F}"/>
            </c:ext>
          </c:extLst>
        </c:ser>
        <c:ser>
          <c:idx val="1"/>
          <c:order val="1"/>
          <c:tx>
            <c:strRef>
              <c:f>Beispiel!$B$67</c:f>
              <c:strCache>
                <c:ptCount val="1"/>
                <c:pt idx="0">
                  <c:v>Bedarf</c:v>
                </c:pt>
              </c:strCache>
            </c:strRef>
          </c:tx>
          <c:marker>
            <c:symbol val="none"/>
          </c:marker>
          <c:cat>
            <c:numRef>
              <c:f>Beispiel!$C$65:$AO$65</c:f>
              <c:numCache>
                <c:formatCode>m/d/yyyy</c:formatCode>
                <c:ptCount val="39"/>
                <c:pt idx="0">
                  <c:v>46209</c:v>
                </c:pt>
                <c:pt idx="1">
                  <c:v>46210</c:v>
                </c:pt>
                <c:pt idx="2">
                  <c:v>46211</c:v>
                </c:pt>
                <c:pt idx="3">
                  <c:v>46212</c:v>
                </c:pt>
                <c:pt idx="4">
                  <c:v>46213</c:v>
                </c:pt>
                <c:pt idx="5">
                  <c:v>46214</c:v>
                </c:pt>
                <c:pt idx="6">
                  <c:v>46215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46222</c:v>
                </c:pt>
                <c:pt idx="14">
                  <c:v>46223</c:v>
                </c:pt>
                <c:pt idx="15">
                  <c:v>46224</c:v>
                </c:pt>
                <c:pt idx="16">
                  <c:v>46225</c:v>
                </c:pt>
                <c:pt idx="17">
                  <c:v>46226</c:v>
                </c:pt>
                <c:pt idx="18">
                  <c:v>46227</c:v>
                </c:pt>
                <c:pt idx="19">
                  <c:v>46228</c:v>
                </c:pt>
                <c:pt idx="20">
                  <c:v>46229</c:v>
                </c:pt>
                <c:pt idx="21">
                  <c:v>46230</c:v>
                </c:pt>
                <c:pt idx="22">
                  <c:v>46231</c:v>
                </c:pt>
                <c:pt idx="23">
                  <c:v>46232</c:v>
                </c:pt>
                <c:pt idx="24">
                  <c:v>46233</c:v>
                </c:pt>
                <c:pt idx="25">
                  <c:v>46234</c:v>
                </c:pt>
                <c:pt idx="26">
                  <c:v>46235</c:v>
                </c:pt>
                <c:pt idx="27">
                  <c:v>46236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46242</c:v>
                </c:pt>
                <c:pt idx="34">
                  <c:v>46243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</c:numCache>
            </c:numRef>
          </c:cat>
          <c:val>
            <c:numRef>
              <c:f>Beispiel!$C$67:$AO$67</c:f>
              <c:numCache>
                <c:formatCode>General</c:formatCode>
                <c:ptCount val="3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1200</c:v>
                </c:pt>
                <c:pt idx="15">
                  <c:v>1300</c:v>
                </c:pt>
                <c:pt idx="16">
                  <c:v>1400</c:v>
                </c:pt>
                <c:pt idx="17">
                  <c:v>1500</c:v>
                </c:pt>
                <c:pt idx="18">
                  <c:v>1600</c:v>
                </c:pt>
                <c:pt idx="19">
                  <c:v>1600</c:v>
                </c:pt>
                <c:pt idx="20">
                  <c:v>1600</c:v>
                </c:pt>
                <c:pt idx="21">
                  <c:v>1700</c:v>
                </c:pt>
                <c:pt idx="22">
                  <c:v>1800</c:v>
                </c:pt>
                <c:pt idx="23">
                  <c:v>1900</c:v>
                </c:pt>
                <c:pt idx="24">
                  <c:v>2000</c:v>
                </c:pt>
                <c:pt idx="25">
                  <c:v>2100</c:v>
                </c:pt>
                <c:pt idx="26">
                  <c:v>2100</c:v>
                </c:pt>
                <c:pt idx="27">
                  <c:v>2100</c:v>
                </c:pt>
                <c:pt idx="28">
                  <c:v>2100</c:v>
                </c:pt>
                <c:pt idx="29">
                  <c:v>2100</c:v>
                </c:pt>
                <c:pt idx="30">
                  <c:v>2100</c:v>
                </c:pt>
                <c:pt idx="31">
                  <c:v>2100</c:v>
                </c:pt>
                <c:pt idx="32">
                  <c:v>2100</c:v>
                </c:pt>
                <c:pt idx="33">
                  <c:v>2100</c:v>
                </c:pt>
                <c:pt idx="34">
                  <c:v>2100</c:v>
                </c:pt>
                <c:pt idx="35">
                  <c:v>2100</c:v>
                </c:pt>
                <c:pt idx="36">
                  <c:v>2100</c:v>
                </c:pt>
                <c:pt idx="37">
                  <c:v>2100</c:v>
                </c:pt>
                <c:pt idx="38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D-9F41-A868-DDF27DFF988F}"/>
            </c:ext>
          </c:extLst>
        </c:ser>
        <c:ser>
          <c:idx val="2"/>
          <c:order val="2"/>
          <c:tx>
            <c:strRef>
              <c:f>Beispiel!$B$68</c:f>
              <c:strCache>
                <c:ptCount val="1"/>
                <c:pt idx="0">
                  <c:v>Rückstand</c:v>
                </c:pt>
              </c:strCache>
            </c:strRef>
          </c:tx>
          <c:marker>
            <c:symbol val="none"/>
          </c:marker>
          <c:cat>
            <c:numRef>
              <c:f>Beispiel!$C$65:$AO$65</c:f>
              <c:numCache>
                <c:formatCode>m/d/yyyy</c:formatCode>
                <c:ptCount val="39"/>
                <c:pt idx="0">
                  <c:v>46209</c:v>
                </c:pt>
                <c:pt idx="1">
                  <c:v>46210</c:v>
                </c:pt>
                <c:pt idx="2">
                  <c:v>46211</c:v>
                </c:pt>
                <c:pt idx="3">
                  <c:v>46212</c:v>
                </c:pt>
                <c:pt idx="4">
                  <c:v>46213</c:v>
                </c:pt>
                <c:pt idx="5">
                  <c:v>46214</c:v>
                </c:pt>
                <c:pt idx="6">
                  <c:v>46215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46222</c:v>
                </c:pt>
                <c:pt idx="14">
                  <c:v>46223</c:v>
                </c:pt>
                <c:pt idx="15">
                  <c:v>46224</c:v>
                </c:pt>
                <c:pt idx="16">
                  <c:v>46225</c:v>
                </c:pt>
                <c:pt idx="17">
                  <c:v>46226</c:v>
                </c:pt>
                <c:pt idx="18">
                  <c:v>46227</c:v>
                </c:pt>
                <c:pt idx="19">
                  <c:v>46228</c:v>
                </c:pt>
                <c:pt idx="20">
                  <c:v>46229</c:v>
                </c:pt>
                <c:pt idx="21">
                  <c:v>46230</c:v>
                </c:pt>
                <c:pt idx="22">
                  <c:v>46231</c:v>
                </c:pt>
                <c:pt idx="23">
                  <c:v>46232</c:v>
                </c:pt>
                <c:pt idx="24">
                  <c:v>46233</c:v>
                </c:pt>
                <c:pt idx="25">
                  <c:v>46234</c:v>
                </c:pt>
                <c:pt idx="26">
                  <c:v>46235</c:v>
                </c:pt>
                <c:pt idx="27">
                  <c:v>46236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46242</c:v>
                </c:pt>
                <c:pt idx="34">
                  <c:v>46243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</c:numCache>
            </c:numRef>
          </c:cat>
          <c:val>
            <c:numRef>
              <c:f>Beispiel!$C$68:$AO$68</c:f>
              <c:numCache>
                <c:formatCode>General</c:formatCode>
                <c:ptCount val="3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950</c:v>
                </c:pt>
                <c:pt idx="13">
                  <c:v>950</c:v>
                </c:pt>
                <c:pt idx="14">
                  <c:v>1050</c:v>
                </c:pt>
                <c:pt idx="15">
                  <c:v>1000</c:v>
                </c:pt>
                <c:pt idx="16">
                  <c:v>950</c:v>
                </c:pt>
                <c:pt idx="17">
                  <c:v>1000</c:v>
                </c:pt>
                <c:pt idx="18">
                  <c:v>950</c:v>
                </c:pt>
                <c:pt idx="19">
                  <c:v>800</c:v>
                </c:pt>
                <c:pt idx="20">
                  <c:v>800</c:v>
                </c:pt>
                <c:pt idx="21">
                  <c:v>900</c:v>
                </c:pt>
                <c:pt idx="22">
                  <c:v>850</c:v>
                </c:pt>
                <c:pt idx="23">
                  <c:v>900</c:v>
                </c:pt>
                <c:pt idx="24">
                  <c:v>1000</c:v>
                </c:pt>
                <c:pt idx="25">
                  <c:v>950</c:v>
                </c:pt>
                <c:pt idx="26">
                  <c:v>800</c:v>
                </c:pt>
                <c:pt idx="27">
                  <c:v>800</c:v>
                </c:pt>
                <c:pt idx="28">
                  <c:v>800</c:v>
                </c:pt>
                <c:pt idx="29">
                  <c:v>650</c:v>
                </c:pt>
                <c:pt idx="30">
                  <c:v>600</c:v>
                </c:pt>
                <c:pt idx="31">
                  <c:v>600</c:v>
                </c:pt>
                <c:pt idx="32">
                  <c:v>450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150</c:v>
                </c:pt>
                <c:pt idx="37">
                  <c:v>100</c:v>
                </c:pt>
                <c:pt idx="3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D-9F41-A868-DDF27DFF988F}"/>
            </c:ext>
          </c:extLst>
        </c:ser>
        <c:ser>
          <c:idx val="3"/>
          <c:order val="3"/>
          <c:tx>
            <c:strRef>
              <c:f>Beispiel!$B$69</c:f>
              <c:strCache>
                <c:ptCount val="1"/>
                <c:pt idx="0">
                  <c:v>Bestand</c:v>
                </c:pt>
              </c:strCache>
            </c:strRef>
          </c:tx>
          <c:marker>
            <c:symbol val="none"/>
          </c:marker>
          <c:cat>
            <c:numRef>
              <c:f>Beispiel!$C$65:$AO$65</c:f>
              <c:numCache>
                <c:formatCode>m/d/yyyy</c:formatCode>
                <c:ptCount val="39"/>
                <c:pt idx="0">
                  <c:v>46209</c:v>
                </c:pt>
                <c:pt idx="1">
                  <c:v>46210</c:v>
                </c:pt>
                <c:pt idx="2">
                  <c:v>46211</c:v>
                </c:pt>
                <c:pt idx="3">
                  <c:v>46212</c:v>
                </c:pt>
                <c:pt idx="4">
                  <c:v>46213</c:v>
                </c:pt>
                <c:pt idx="5">
                  <c:v>46214</c:v>
                </c:pt>
                <c:pt idx="6">
                  <c:v>46215</c:v>
                </c:pt>
                <c:pt idx="7">
                  <c:v>46216</c:v>
                </c:pt>
                <c:pt idx="8">
                  <c:v>46217</c:v>
                </c:pt>
                <c:pt idx="9">
                  <c:v>46218</c:v>
                </c:pt>
                <c:pt idx="10">
                  <c:v>46219</c:v>
                </c:pt>
                <c:pt idx="11">
                  <c:v>46220</c:v>
                </c:pt>
                <c:pt idx="12">
                  <c:v>46221</c:v>
                </c:pt>
                <c:pt idx="13">
                  <c:v>46222</c:v>
                </c:pt>
                <c:pt idx="14">
                  <c:v>46223</c:v>
                </c:pt>
                <c:pt idx="15">
                  <c:v>46224</c:v>
                </c:pt>
                <c:pt idx="16">
                  <c:v>46225</c:v>
                </c:pt>
                <c:pt idx="17">
                  <c:v>46226</c:v>
                </c:pt>
                <c:pt idx="18">
                  <c:v>46227</c:v>
                </c:pt>
                <c:pt idx="19">
                  <c:v>46228</c:v>
                </c:pt>
                <c:pt idx="20">
                  <c:v>46229</c:v>
                </c:pt>
                <c:pt idx="21">
                  <c:v>46230</c:v>
                </c:pt>
                <c:pt idx="22">
                  <c:v>46231</c:v>
                </c:pt>
                <c:pt idx="23">
                  <c:v>46232</c:v>
                </c:pt>
                <c:pt idx="24">
                  <c:v>46233</c:v>
                </c:pt>
                <c:pt idx="25">
                  <c:v>46234</c:v>
                </c:pt>
                <c:pt idx="26">
                  <c:v>46235</c:v>
                </c:pt>
                <c:pt idx="27">
                  <c:v>46236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46242</c:v>
                </c:pt>
                <c:pt idx="34">
                  <c:v>46243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</c:numCache>
            </c:numRef>
          </c:cat>
          <c:val>
            <c:numRef>
              <c:f>Beispiel!$C$69:$AO$69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500</c:v>
                </c:pt>
                <c:pt idx="12">
                  <c:v>350</c:v>
                </c:pt>
                <c:pt idx="13">
                  <c:v>350</c:v>
                </c:pt>
                <c:pt idx="14">
                  <c:v>350</c:v>
                </c:pt>
                <c:pt idx="15">
                  <c:v>200</c:v>
                </c:pt>
                <c:pt idx="16">
                  <c:v>50</c:v>
                </c:pt>
                <c:pt idx="17">
                  <c:v>500</c:v>
                </c:pt>
                <c:pt idx="18">
                  <c:v>350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50</c:v>
                </c:pt>
                <c:pt idx="23">
                  <c:v>0</c:v>
                </c:pt>
                <c:pt idx="24">
                  <c:v>500</c:v>
                </c:pt>
                <c:pt idx="25">
                  <c:v>350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50</c:v>
                </c:pt>
                <c:pt idx="30">
                  <c:v>0</c:v>
                </c:pt>
                <c:pt idx="31">
                  <c:v>500</c:v>
                </c:pt>
                <c:pt idx="32">
                  <c:v>350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50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D-9F41-A868-DDF27DFF9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017552"/>
        <c:axId val="2147275392"/>
      </c:lineChart>
      <c:dateAx>
        <c:axId val="2018017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47275392"/>
        <c:crosses val="autoZero"/>
        <c:auto val="1"/>
        <c:lblOffset val="100"/>
        <c:baseTimeUnit val="days"/>
      </c:dateAx>
      <c:valAx>
        <c:axId val="2147275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8017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21</xdr:row>
      <xdr:rowOff>76200</xdr:rowOff>
    </xdr:from>
    <xdr:to>
      <xdr:col>6</xdr:col>
      <xdr:colOff>68580</xdr:colOff>
      <xdr:row>26</xdr:row>
      <xdr:rowOff>99060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4023360" y="3368040"/>
          <a:ext cx="7620" cy="93726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70339</xdr:colOff>
      <xdr:row>12</xdr:row>
      <xdr:rowOff>38100</xdr:rowOff>
    </xdr:from>
    <xdr:to>
      <xdr:col>6</xdr:col>
      <xdr:colOff>99060</xdr:colOff>
      <xdr:row>21</xdr:row>
      <xdr:rowOff>70339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026877" y="2218592"/>
          <a:ext cx="28721" cy="112248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92699</xdr:colOff>
      <xdr:row>12</xdr:row>
      <xdr:rowOff>35881</xdr:rowOff>
    </xdr:from>
    <xdr:to>
      <xdr:col>7</xdr:col>
      <xdr:colOff>153659</xdr:colOff>
      <xdr:row>21</xdr:row>
      <xdr:rowOff>81601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4156699" y="2296481"/>
          <a:ext cx="854710" cy="174752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101600</xdr:colOff>
      <xdr:row>12</xdr:row>
      <xdr:rowOff>50800</xdr:rowOff>
    </xdr:from>
    <xdr:to>
      <xdr:col>8</xdr:col>
      <xdr:colOff>134815</xdr:colOff>
      <xdr:row>21</xdr:row>
      <xdr:rowOff>52754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066822" y="2252133"/>
          <a:ext cx="1619304" cy="110262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101600</xdr:colOff>
      <xdr:row>12</xdr:row>
      <xdr:rowOff>47978</xdr:rowOff>
    </xdr:from>
    <xdr:to>
      <xdr:col>9</xdr:col>
      <xdr:colOff>193430</xdr:colOff>
      <xdr:row>21</xdr:row>
      <xdr:rowOff>76200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4014788" y="2278416"/>
          <a:ext cx="2377830" cy="114740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101600</xdr:colOff>
      <xdr:row>12</xdr:row>
      <xdr:rowOff>45156</xdr:rowOff>
    </xdr:from>
    <xdr:to>
      <xdr:col>10</xdr:col>
      <xdr:colOff>117231</xdr:colOff>
      <xdr:row>21</xdr:row>
      <xdr:rowOff>82062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016876" y="2331156"/>
          <a:ext cx="3063631" cy="117990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21</xdr:row>
      <xdr:rowOff>83820</xdr:rowOff>
    </xdr:from>
    <xdr:to>
      <xdr:col>7</xdr:col>
      <xdr:colOff>152400</xdr:colOff>
      <xdr:row>26</xdr:row>
      <xdr:rowOff>106680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4899660" y="3375660"/>
          <a:ext cx="7620" cy="93726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21</xdr:row>
      <xdr:rowOff>53340</xdr:rowOff>
    </xdr:from>
    <xdr:to>
      <xdr:col>8</xdr:col>
      <xdr:colOff>106680</xdr:colOff>
      <xdr:row>26</xdr:row>
      <xdr:rowOff>76200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5646420" y="3345180"/>
          <a:ext cx="7620" cy="93726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175260</xdr:colOff>
      <xdr:row>21</xdr:row>
      <xdr:rowOff>60960</xdr:rowOff>
    </xdr:from>
    <xdr:to>
      <xdr:col>9</xdr:col>
      <xdr:colOff>182880</xdr:colOff>
      <xdr:row>26</xdr:row>
      <xdr:rowOff>83820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6515100" y="3352800"/>
          <a:ext cx="7620" cy="93726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</xdr:colOff>
      <xdr:row>21</xdr:row>
      <xdr:rowOff>68580</xdr:rowOff>
    </xdr:from>
    <xdr:to>
      <xdr:col>10</xdr:col>
      <xdr:colOff>106680</xdr:colOff>
      <xdr:row>26</xdr:row>
      <xdr:rowOff>91440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7231380" y="3360420"/>
          <a:ext cx="7620" cy="93726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755650</xdr:colOff>
      <xdr:row>0</xdr:row>
      <xdr:rowOff>150812</xdr:rowOff>
    </xdr:from>
    <xdr:to>
      <xdr:col>6</xdr:col>
      <xdr:colOff>95250</xdr:colOff>
      <xdr:row>12</xdr:row>
      <xdr:rowOff>42862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382838" y="150812"/>
          <a:ext cx="1625600" cy="213836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107950</xdr:colOff>
      <xdr:row>34</xdr:row>
      <xdr:rowOff>76200</xdr:rowOff>
    </xdr:from>
    <xdr:to>
      <xdr:col>10</xdr:col>
      <xdr:colOff>115303</xdr:colOff>
      <xdr:row>39</xdr:row>
      <xdr:rowOff>60158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5547226" y="5931568"/>
          <a:ext cx="1531353" cy="93645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492125</xdr:colOff>
      <xdr:row>9</xdr:row>
      <xdr:rowOff>15875</xdr:rowOff>
    </xdr:from>
    <xdr:to>
      <xdr:col>12</xdr:col>
      <xdr:colOff>579437</xdr:colOff>
      <xdr:row>13</xdr:row>
      <xdr:rowOff>111125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53313" y="1698625"/>
          <a:ext cx="1611312" cy="8572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Programmplanung auf </a:t>
          </a:r>
        </a:p>
        <a:p>
          <a:r>
            <a:rPr lang="de-DE" sz="1100"/>
            <a:t>Wochenbasis ist Planungsgrundlage</a:t>
          </a:r>
          <a:r>
            <a:rPr lang="de-DE" sz="1100" baseline="0"/>
            <a:t> für die Disposition</a:t>
          </a:r>
          <a:r>
            <a:rPr lang="de-DE" sz="1100"/>
            <a:t> </a:t>
          </a:r>
        </a:p>
      </xdr:txBody>
    </xdr:sp>
    <xdr:clientData/>
  </xdr:twoCellAnchor>
  <xdr:twoCellAnchor>
    <xdr:from>
      <xdr:col>10</xdr:col>
      <xdr:colOff>7937</xdr:colOff>
      <xdr:row>11</xdr:row>
      <xdr:rowOff>79375</xdr:rowOff>
    </xdr:from>
    <xdr:to>
      <xdr:col>10</xdr:col>
      <xdr:colOff>492125</xdr:colOff>
      <xdr:row>12</xdr:row>
      <xdr:rowOff>55562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stCxn id="2" idx="1"/>
        </xdr:cNvCxnSpPr>
      </xdr:nvCxnSpPr>
      <xdr:spPr>
        <a:xfrm flipH="1">
          <a:off x="6969125" y="2166938"/>
          <a:ext cx="484188" cy="174624"/>
        </a:xfrm>
        <a:prstGeom prst="straightConnector1">
          <a:avLst/>
        </a:prstGeom>
        <a:ln w="19050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579439</xdr:colOff>
      <xdr:row>45</xdr:row>
      <xdr:rowOff>31750</xdr:rowOff>
    </xdr:from>
    <xdr:to>
      <xdr:col>4</xdr:col>
      <xdr:colOff>746127</xdr:colOff>
      <xdr:row>46</xdr:row>
      <xdr:rowOff>0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968627" y="8080375"/>
          <a:ext cx="166688" cy="158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207964</xdr:colOff>
      <xdr:row>45</xdr:row>
      <xdr:rowOff>33338</xdr:rowOff>
    </xdr:from>
    <xdr:to>
      <xdr:col>5</xdr:col>
      <xdr:colOff>374652</xdr:colOff>
      <xdr:row>46</xdr:row>
      <xdr:rowOff>1588</xdr:rowOff>
    </xdr:to>
    <xdr:sp macro="" textlink="">
      <xdr:nvSpPr>
        <xdr:cNvPr id="23" name="Ellips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3359152" y="8081963"/>
          <a:ext cx="166688" cy="158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13</xdr:col>
      <xdr:colOff>313323</xdr:colOff>
      <xdr:row>42</xdr:row>
      <xdr:rowOff>170030</xdr:rowOff>
    </xdr:from>
    <xdr:to>
      <xdr:col>16</xdr:col>
      <xdr:colOff>353010</xdr:colOff>
      <xdr:row>45</xdr:row>
      <xdr:rowOff>98592</xdr:rowOff>
    </xdr:to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562599" y="7549398"/>
          <a:ext cx="2325687" cy="500062"/>
        </a:xfrm>
        <a:prstGeom prst="rect">
          <a:avLst/>
        </a:prstGeom>
        <a:solidFill>
          <a:schemeClr val="lt1"/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500 Teile (richtige Losgröße) bereit zum Versand, warten</a:t>
          </a:r>
          <a:r>
            <a:rPr lang="de-DE" sz="1100" baseline="0"/>
            <a:t> auf Schiff</a:t>
          </a:r>
          <a:endParaRPr lang="de-DE" sz="1100"/>
        </a:p>
      </xdr:txBody>
    </xdr:sp>
    <xdr:clientData/>
  </xdr:twoCellAnchor>
  <xdr:twoCellAnchor>
    <xdr:from>
      <xdr:col>13</xdr:col>
      <xdr:colOff>3760</xdr:colOff>
      <xdr:row>41</xdr:row>
      <xdr:rowOff>177967</xdr:rowOff>
    </xdr:from>
    <xdr:to>
      <xdr:col>13</xdr:col>
      <xdr:colOff>313323</xdr:colOff>
      <xdr:row>44</xdr:row>
      <xdr:rowOff>39061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9" idx="1"/>
        </xdr:cNvCxnSpPr>
      </xdr:nvCxnSpPr>
      <xdr:spPr>
        <a:xfrm flipH="1" flipV="1">
          <a:off x="9253036" y="7366835"/>
          <a:ext cx="309563" cy="432594"/>
        </a:xfrm>
        <a:prstGeom prst="straightConnector1">
          <a:avLst/>
        </a:prstGeom>
        <a:ln w="19050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99428</xdr:colOff>
      <xdr:row>41</xdr:row>
      <xdr:rowOff>144963</xdr:rowOff>
    </xdr:from>
    <xdr:to>
      <xdr:col>12</xdr:col>
      <xdr:colOff>99428</xdr:colOff>
      <xdr:row>49</xdr:row>
      <xdr:rowOff>184651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8586704" y="7333831"/>
          <a:ext cx="0" cy="156368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56445</xdr:colOff>
      <xdr:row>26</xdr:row>
      <xdr:rowOff>112889</xdr:rowOff>
    </xdr:from>
    <xdr:to>
      <xdr:col>8</xdr:col>
      <xdr:colOff>130969</xdr:colOff>
      <xdr:row>31</xdr:row>
      <xdr:rowOff>119062</xdr:rowOff>
    </xdr:to>
    <xdr:cxnSp macro="">
      <xdr:nvCxnSpPr>
        <xdr:cNvPr id="32" name="Gerade Verbindung mit Pfei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3973601" y="4470577"/>
          <a:ext cx="1598524" cy="934860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127314</xdr:colOff>
      <xdr:row>26</xdr:row>
      <xdr:rowOff>99448</xdr:rowOff>
    </xdr:from>
    <xdr:to>
      <xdr:col>8</xdr:col>
      <xdr:colOff>136922</xdr:colOff>
      <xdr:row>31</xdr:row>
      <xdr:rowOff>125016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4806470" y="4457136"/>
          <a:ext cx="771608" cy="954255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105834</xdr:colOff>
      <xdr:row>26</xdr:row>
      <xdr:rowOff>88195</xdr:rowOff>
    </xdr:from>
    <xdr:to>
      <xdr:col>10</xdr:col>
      <xdr:colOff>165806</xdr:colOff>
      <xdr:row>31</xdr:row>
      <xdr:rowOff>109361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5545667" y="4448528"/>
          <a:ext cx="1583972" cy="952500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183445</xdr:colOff>
      <xdr:row>26</xdr:row>
      <xdr:rowOff>88195</xdr:rowOff>
    </xdr:from>
    <xdr:to>
      <xdr:col>10</xdr:col>
      <xdr:colOff>165806</xdr:colOff>
      <xdr:row>31</xdr:row>
      <xdr:rowOff>109361</xdr:rowOff>
    </xdr:to>
    <xdr:cxnSp macro="">
      <xdr:nvCxnSpPr>
        <xdr:cNvPr id="39" name="Gerade Verbindung mit Pfei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6385278" y="4448528"/>
          <a:ext cx="744361" cy="952500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98778</xdr:colOff>
      <xdr:row>26</xdr:row>
      <xdr:rowOff>95250</xdr:rowOff>
    </xdr:from>
    <xdr:to>
      <xdr:col>10</xdr:col>
      <xdr:colOff>162278</xdr:colOff>
      <xdr:row>31</xdr:row>
      <xdr:rowOff>102305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>
          <a:off x="7062611" y="4455583"/>
          <a:ext cx="63500" cy="938389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14</xdr:row>
      <xdr:rowOff>39687</xdr:rowOff>
    </xdr:from>
    <xdr:to>
      <xdr:col>12</xdr:col>
      <xdr:colOff>381001</xdr:colOff>
      <xdr:row>15</xdr:row>
      <xdr:rowOff>127000</xdr:rowOff>
    </xdr:to>
    <xdr:sp macro="" textlink="">
      <xdr:nvSpPr>
        <xdr:cNvPr id="55" name="Textfeld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7485063" y="2714625"/>
          <a:ext cx="1381126" cy="277813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Marketing-Szenario</a:t>
          </a:r>
        </a:p>
      </xdr:txBody>
    </xdr:sp>
    <xdr:clientData/>
  </xdr:twoCellAnchor>
  <xdr:twoCellAnchor>
    <xdr:from>
      <xdr:col>7</xdr:col>
      <xdr:colOff>7937</xdr:colOff>
      <xdr:row>13</xdr:row>
      <xdr:rowOff>79375</xdr:rowOff>
    </xdr:from>
    <xdr:to>
      <xdr:col>10</xdr:col>
      <xdr:colOff>523875</xdr:colOff>
      <xdr:row>14</xdr:row>
      <xdr:rowOff>178594</xdr:rowOff>
    </xdr:to>
    <xdr:cxnSp macro="">
      <xdr:nvCxnSpPr>
        <xdr:cNvPr id="56" name="Gerade Verbindung mit Pfeil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>
          <a:stCxn id="55" idx="1"/>
        </xdr:cNvCxnSpPr>
      </xdr:nvCxnSpPr>
      <xdr:spPr>
        <a:xfrm flipH="1" flipV="1">
          <a:off x="4683125" y="2571750"/>
          <a:ext cx="2801938" cy="289719"/>
        </a:xfrm>
        <a:prstGeom prst="straightConnector1">
          <a:avLst/>
        </a:prstGeom>
        <a:ln w="19050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106391</xdr:colOff>
      <xdr:row>26</xdr:row>
      <xdr:rowOff>87081</xdr:rowOff>
    </xdr:from>
    <xdr:to>
      <xdr:col>10</xdr:col>
      <xdr:colOff>166363</xdr:colOff>
      <xdr:row>31</xdr:row>
      <xdr:rowOff>108247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5545667" y="4448528"/>
          <a:ext cx="1583972" cy="953614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110290</xdr:colOff>
      <xdr:row>26</xdr:row>
      <xdr:rowOff>105277</xdr:rowOff>
    </xdr:from>
    <xdr:to>
      <xdr:col>8</xdr:col>
      <xdr:colOff>125329</xdr:colOff>
      <xdr:row>31</xdr:row>
      <xdr:rowOff>125329</xdr:rowOff>
    </xdr:to>
    <xdr:cxnSp macro="">
      <xdr:nvCxnSpPr>
        <xdr:cNvPr id="43" name="Gerade Verbindung mit Pfeil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5549566" y="4466724"/>
          <a:ext cx="15039" cy="952500"/>
        </a:xfrm>
        <a:prstGeom prst="straightConnector1">
          <a:avLst/>
        </a:prstGeom>
        <a:ln w="19050"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115303</xdr:colOff>
      <xdr:row>31</xdr:row>
      <xdr:rowOff>119165</xdr:rowOff>
    </xdr:from>
    <xdr:to>
      <xdr:col>8</xdr:col>
      <xdr:colOff>115303</xdr:colOff>
      <xdr:row>34</xdr:row>
      <xdr:rowOff>80211</xdr:rowOff>
    </xdr:to>
    <xdr:cxnSp macro="">
      <xdr:nvCxnSpPr>
        <xdr:cNvPr id="47" name="Gerade Verbindung mit Pfeil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H="1">
          <a:off x="5554579" y="5413060"/>
          <a:ext cx="0" cy="71301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</xdr:colOff>
      <xdr:row>40</xdr:row>
      <xdr:rowOff>95251</xdr:rowOff>
    </xdr:from>
    <xdr:to>
      <xdr:col>12</xdr:col>
      <xdr:colOff>75198</xdr:colOff>
      <xdr:row>40</xdr:row>
      <xdr:rowOff>95251</xdr:rowOff>
    </xdr:to>
    <xdr:cxnSp macro="">
      <xdr:nvCxnSpPr>
        <xdr:cNvPr id="49" name="Gerade Verbindung mit Pfeil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V="1">
          <a:off x="7725277" y="7093619"/>
          <a:ext cx="837197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109863</xdr:colOff>
      <xdr:row>39</xdr:row>
      <xdr:rowOff>67253</xdr:rowOff>
    </xdr:from>
    <xdr:to>
      <xdr:col>10</xdr:col>
      <xdr:colOff>109872</xdr:colOff>
      <xdr:row>40</xdr:row>
      <xdr:rowOff>122815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7073139" y="6875121"/>
          <a:ext cx="9" cy="24606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167440</xdr:colOff>
      <xdr:row>31</xdr:row>
      <xdr:rowOff>96105</xdr:rowOff>
    </xdr:from>
    <xdr:to>
      <xdr:col>10</xdr:col>
      <xdr:colOff>167440</xdr:colOff>
      <xdr:row>34</xdr:row>
      <xdr:rowOff>57151</xdr:rowOff>
    </xdr:to>
    <xdr:cxnSp macro="">
      <xdr:nvCxnSpPr>
        <xdr:cNvPr id="50" name="Gerade Verbindung mit Pfeil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7130716" y="5390000"/>
          <a:ext cx="0" cy="713019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101842</xdr:colOff>
      <xdr:row>39</xdr:row>
      <xdr:rowOff>44192</xdr:rowOff>
    </xdr:from>
    <xdr:to>
      <xdr:col>12</xdr:col>
      <xdr:colOff>101851</xdr:colOff>
      <xdr:row>40</xdr:row>
      <xdr:rowOff>99754</xdr:rowOff>
    </xdr:to>
    <xdr:cxnSp macro="">
      <xdr:nvCxnSpPr>
        <xdr:cNvPr id="51" name="Gerade Verbindung mit Pfeil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8589118" y="6852060"/>
          <a:ext cx="9" cy="24606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160087</xdr:colOff>
      <xdr:row>34</xdr:row>
      <xdr:rowOff>38100</xdr:rowOff>
    </xdr:from>
    <xdr:to>
      <xdr:col>12</xdr:col>
      <xdr:colOff>95250</xdr:colOff>
      <xdr:row>39</xdr:row>
      <xdr:rowOff>55145</xdr:rowOff>
    </xdr:to>
    <xdr:cxnSp macro="">
      <xdr:nvCxnSpPr>
        <xdr:cNvPr id="52" name="Gerade Verbindung mit Pfeil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7123363" y="5893468"/>
          <a:ext cx="1459163" cy="969545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246815</xdr:colOff>
      <xdr:row>52</xdr:row>
      <xdr:rowOff>106863</xdr:rowOff>
    </xdr:from>
    <xdr:to>
      <xdr:col>17</xdr:col>
      <xdr:colOff>65171</xdr:colOff>
      <xdr:row>58</xdr:row>
      <xdr:rowOff>105277</xdr:rowOff>
    </xdr:to>
    <xdr:cxnSp macro="">
      <xdr:nvCxnSpPr>
        <xdr:cNvPr id="53" name="Gerade Verbindung mit Pfeil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8734091" y="9391231"/>
          <a:ext cx="3628356" cy="114141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235619</xdr:colOff>
      <xdr:row>58</xdr:row>
      <xdr:rowOff>174039</xdr:rowOff>
    </xdr:from>
    <xdr:to>
      <xdr:col>17</xdr:col>
      <xdr:colOff>238794</xdr:colOff>
      <xdr:row>61</xdr:row>
      <xdr:rowOff>20053</xdr:rowOff>
    </xdr:to>
    <xdr:cxnSp macro="">
      <xdr:nvCxnSpPr>
        <xdr:cNvPr id="54" name="Gerade Verbindung mit Pfeil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2532895" y="10601407"/>
          <a:ext cx="3175" cy="41751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240632</xdr:colOff>
      <xdr:row>58</xdr:row>
      <xdr:rowOff>185487</xdr:rowOff>
    </xdr:from>
    <xdr:to>
      <xdr:col>20</xdr:col>
      <xdr:colOff>370974</xdr:colOff>
      <xdr:row>60</xdr:row>
      <xdr:rowOff>190500</xdr:rowOff>
    </xdr:to>
    <xdr:cxnSp macro="">
      <xdr:nvCxnSpPr>
        <xdr:cNvPr id="57" name="Gerade Verbindung mit Pfeil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2537908" y="10612855"/>
          <a:ext cx="2416342" cy="386013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235619</xdr:colOff>
      <xdr:row>59</xdr:row>
      <xdr:rowOff>5014</xdr:rowOff>
    </xdr:from>
    <xdr:to>
      <xdr:col>21</xdr:col>
      <xdr:colOff>396040</xdr:colOff>
      <xdr:row>61</xdr:row>
      <xdr:rowOff>15040</xdr:rowOff>
    </xdr:to>
    <xdr:cxnSp macro="">
      <xdr:nvCxnSpPr>
        <xdr:cNvPr id="58" name="Gerade Verbindung mit Pfeil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12532895" y="10622882"/>
          <a:ext cx="3208421" cy="39102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240632</xdr:colOff>
      <xdr:row>58</xdr:row>
      <xdr:rowOff>185487</xdr:rowOff>
    </xdr:from>
    <xdr:to>
      <xdr:col>22</xdr:col>
      <xdr:colOff>431132</xdr:colOff>
      <xdr:row>61</xdr:row>
      <xdr:rowOff>10027</xdr:rowOff>
    </xdr:to>
    <xdr:cxnSp macro="">
      <xdr:nvCxnSpPr>
        <xdr:cNvPr id="59" name="Gerade Verbindung mit Pfeil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12537908" y="10612855"/>
          <a:ext cx="4000500" cy="39604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214311</xdr:colOff>
      <xdr:row>70</xdr:row>
      <xdr:rowOff>108744</xdr:rowOff>
    </xdr:from>
    <xdr:to>
      <xdr:col>10</xdr:col>
      <xdr:colOff>555624</xdr:colOff>
      <xdr:row>93</xdr:row>
      <xdr:rowOff>134938</xdr:rowOff>
    </xdr:to>
    <xdr:graphicFrame macro="">
      <xdr:nvGraphicFramePr>
        <xdr:cNvPr id="69" name="Diagram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39687</xdr:colOff>
      <xdr:row>26</xdr:row>
      <xdr:rowOff>174625</xdr:rowOff>
    </xdr:from>
    <xdr:to>
      <xdr:col>5</xdr:col>
      <xdr:colOff>674687</xdr:colOff>
      <xdr:row>27</xdr:row>
      <xdr:rowOff>79375</xdr:rowOff>
    </xdr:to>
    <xdr:cxnSp macro="">
      <xdr:nvCxnSpPr>
        <xdr:cNvPr id="70" name="Gerade Verbindung mit Pfeil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V="1">
          <a:off x="2428875" y="4572000"/>
          <a:ext cx="1397000" cy="9525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17462</xdr:colOff>
      <xdr:row>21</xdr:row>
      <xdr:rowOff>82550</xdr:rowOff>
    </xdr:from>
    <xdr:to>
      <xdr:col>5</xdr:col>
      <xdr:colOff>762000</xdr:colOff>
      <xdr:row>21</xdr:row>
      <xdr:rowOff>90494</xdr:rowOff>
    </xdr:to>
    <xdr:cxnSp macro="">
      <xdr:nvCxnSpPr>
        <xdr:cNvPr id="73" name="Gerade Verbindung mit Pfeil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V="1">
          <a:off x="2493962" y="4044950"/>
          <a:ext cx="1538288" cy="794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25399</xdr:colOff>
      <xdr:row>41</xdr:row>
      <xdr:rowOff>87313</xdr:rowOff>
    </xdr:from>
    <xdr:to>
      <xdr:col>5</xdr:col>
      <xdr:colOff>301625</xdr:colOff>
      <xdr:row>42</xdr:row>
      <xdr:rowOff>104775</xdr:rowOff>
    </xdr:to>
    <xdr:cxnSp macro="">
      <xdr:nvCxnSpPr>
        <xdr:cNvPr id="75" name="Gerade Verbindung mit Pfeil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 flipV="1">
          <a:off x="2414587" y="7342188"/>
          <a:ext cx="1038226" cy="20796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</xdr:colOff>
      <xdr:row>31</xdr:row>
      <xdr:rowOff>96838</xdr:rowOff>
    </xdr:from>
    <xdr:to>
      <xdr:col>5</xdr:col>
      <xdr:colOff>295275</xdr:colOff>
      <xdr:row>32</xdr:row>
      <xdr:rowOff>114300</xdr:rowOff>
    </xdr:to>
    <xdr:cxnSp macro="">
      <xdr:nvCxnSpPr>
        <xdr:cNvPr id="78" name="Gerade Verbindung mit Pfeil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 flipV="1">
          <a:off x="2408237" y="5446713"/>
          <a:ext cx="1038226" cy="20796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28574</xdr:colOff>
      <xdr:row>34</xdr:row>
      <xdr:rowOff>111125</xdr:rowOff>
    </xdr:from>
    <xdr:to>
      <xdr:col>5</xdr:col>
      <xdr:colOff>404812</xdr:colOff>
      <xdr:row>34</xdr:row>
      <xdr:rowOff>123825</xdr:rowOff>
    </xdr:to>
    <xdr:cxnSp macro="">
      <xdr:nvCxnSpPr>
        <xdr:cNvPr id="79" name="Gerade Verbindung mit Pfeil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 flipV="1">
          <a:off x="2417762" y="6032500"/>
          <a:ext cx="1138238" cy="127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95250</xdr:rowOff>
    </xdr:from>
    <xdr:to>
      <xdr:col>12</xdr:col>
      <xdr:colOff>412750</xdr:colOff>
      <xdr:row>20</xdr:row>
      <xdr:rowOff>103187</xdr:rowOff>
    </xdr:to>
    <xdr:cxnSp macro="">
      <xdr:nvCxnSpPr>
        <xdr:cNvPr id="48" name="Gerade Verbindung mit Pfeil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4675188" y="2587625"/>
          <a:ext cx="4222750" cy="13335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706437</xdr:colOff>
      <xdr:row>4</xdr:row>
      <xdr:rowOff>39688</xdr:rowOff>
    </xdr:from>
    <xdr:to>
      <xdr:col>12</xdr:col>
      <xdr:colOff>722312</xdr:colOff>
      <xdr:row>19</xdr:row>
      <xdr:rowOff>134937</xdr:rowOff>
    </xdr:to>
    <xdr:cxnSp macro="">
      <xdr:nvCxnSpPr>
        <xdr:cNvPr id="60" name="Gerade Verbindung mit Pfeil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9191625" y="801688"/>
          <a:ext cx="15875" cy="296068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111125</xdr:colOff>
      <xdr:row>5</xdr:row>
      <xdr:rowOff>95250</xdr:rowOff>
    </xdr:from>
    <xdr:to>
      <xdr:col>14</xdr:col>
      <xdr:colOff>730251</xdr:colOff>
      <xdr:row>11</xdr:row>
      <xdr:rowOff>31750</xdr:rowOff>
    </xdr:to>
    <xdr:sp macro="" textlink="">
      <xdr:nvSpPr>
        <xdr:cNvPr id="62" name="Textfeld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9358313" y="1047750"/>
          <a:ext cx="1381126" cy="10795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Zusatzbedarf aus</a:t>
          </a:r>
        </a:p>
        <a:p>
          <a:r>
            <a:rPr lang="de-DE" sz="1100"/>
            <a:t>Marketing-Szenario wird erst "morgen" beim Zulieferer</a:t>
          </a:r>
          <a:r>
            <a:rPr lang="de-DE" sz="1100" baseline="0"/>
            <a:t> eingeplant</a:t>
          </a:r>
          <a:endParaRPr lang="de-DE" sz="1100"/>
        </a:p>
      </xdr:txBody>
    </xdr:sp>
    <xdr:clientData/>
  </xdr:twoCellAnchor>
  <xdr:twoCellAnchor>
    <xdr:from>
      <xdr:col>13</xdr:col>
      <xdr:colOff>761583</xdr:colOff>
      <xdr:row>59</xdr:row>
      <xdr:rowOff>0</xdr:rowOff>
    </xdr:from>
    <xdr:to>
      <xdr:col>17</xdr:col>
      <xdr:colOff>238125</xdr:colOff>
      <xdr:row>65</xdr:row>
      <xdr:rowOff>1671</xdr:rowOff>
    </xdr:to>
    <xdr:cxnSp macro="">
      <xdr:nvCxnSpPr>
        <xdr:cNvPr id="61" name="Gerade Verbindung mit Pfeil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>
          <a:off x="10008771" y="11239500"/>
          <a:ext cx="2524542" cy="114467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531812</xdr:colOff>
      <xdr:row>12</xdr:row>
      <xdr:rowOff>14111</xdr:rowOff>
    </xdr:from>
    <xdr:to>
      <xdr:col>5</xdr:col>
      <xdr:colOff>571499</xdr:colOff>
      <xdr:row>14</xdr:row>
      <xdr:rowOff>145522</xdr:rowOff>
    </xdr:to>
    <xdr:sp macro="" textlink="">
      <xdr:nvSpPr>
        <xdr:cNvPr id="63" name="Textfeld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514423" y="2222500"/>
          <a:ext cx="1563687" cy="50535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Bestellung</a:t>
          </a:r>
          <a:r>
            <a:rPr lang="de-DE" sz="1100" baseline="0"/>
            <a:t> beim Zulieferer</a:t>
          </a:r>
          <a:endParaRPr lang="de-DE" sz="1100"/>
        </a:p>
      </xdr:txBody>
    </xdr:sp>
    <xdr:clientData/>
  </xdr:twoCellAnchor>
  <xdr:twoCellAnchor>
    <xdr:from>
      <xdr:col>4</xdr:col>
      <xdr:colOff>551656</xdr:colOff>
      <xdr:row>14</xdr:row>
      <xdr:rowOff>145522</xdr:rowOff>
    </xdr:from>
    <xdr:to>
      <xdr:col>6</xdr:col>
      <xdr:colOff>105833</xdr:colOff>
      <xdr:row>21</xdr:row>
      <xdr:rowOff>42333</xdr:rowOff>
    </xdr:to>
    <xdr:cxnSp macro="">
      <xdr:nvCxnSpPr>
        <xdr:cNvPr id="64" name="Gerade Verbindung mit Pfeil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stCxn id="63" idx="2"/>
        </xdr:cNvCxnSpPr>
      </xdr:nvCxnSpPr>
      <xdr:spPr>
        <a:xfrm>
          <a:off x="3296267" y="2727855"/>
          <a:ext cx="1078177" cy="1180922"/>
        </a:xfrm>
        <a:prstGeom prst="straightConnector1">
          <a:avLst/>
        </a:prstGeom>
        <a:ln w="19050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607485</xdr:colOff>
      <xdr:row>45</xdr:row>
      <xdr:rowOff>17461</xdr:rowOff>
    </xdr:from>
    <xdr:to>
      <xdr:col>5</xdr:col>
      <xdr:colOff>774173</xdr:colOff>
      <xdr:row>45</xdr:row>
      <xdr:rowOff>176211</xdr:rowOff>
    </xdr:to>
    <xdr:sp macro="" textlink="">
      <xdr:nvSpPr>
        <xdr:cNvPr id="65" name="Ellipse 22">
          <a:extLst>
            <a:ext uri="{FF2B5EF4-FFF2-40B4-BE49-F238E27FC236}">
              <a16:creationId xmlns:a16="http://schemas.microsoft.com/office/drawing/2014/main" id="{0099DAB9-1C74-B34C-B2AF-8BA99392672C}"/>
            </a:ext>
          </a:extLst>
        </xdr:cNvPr>
        <xdr:cNvSpPr/>
      </xdr:nvSpPr>
      <xdr:spPr>
        <a:xfrm>
          <a:off x="4417485" y="8611128"/>
          <a:ext cx="166688" cy="158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100"/>
  <sheetViews>
    <sheetView tabSelected="1" topLeftCell="A7" zoomScale="90" zoomScaleNormal="90" zoomScalePageLayoutView="120" workbookViewId="0">
      <selection activeCell="G22" sqref="G22"/>
    </sheetView>
  </sheetViews>
  <sheetFormatPr baseColWidth="10" defaultRowHeight="14.5" x14ac:dyDescent="0.35"/>
  <cols>
    <col min="1" max="1" width="4.453125" customWidth="1"/>
    <col min="3" max="3" width="13" customWidth="1"/>
  </cols>
  <sheetData>
    <row r="1" spans="1:42" x14ac:dyDescent="0.35">
      <c r="A1" t="s">
        <v>44</v>
      </c>
      <c r="B1" t="s">
        <v>25</v>
      </c>
      <c r="D1" s="2">
        <v>2000</v>
      </c>
      <c r="F1" t="s">
        <v>15</v>
      </c>
      <c r="I1">
        <v>250</v>
      </c>
      <c r="K1" t="s">
        <v>5</v>
      </c>
      <c r="N1">
        <v>35</v>
      </c>
      <c r="O1">
        <v>5</v>
      </c>
      <c r="Q1" t="s">
        <v>24</v>
      </c>
      <c r="U1">
        <v>35</v>
      </c>
    </row>
    <row r="2" spans="1:42" x14ac:dyDescent="0.35">
      <c r="A2">
        <v>2</v>
      </c>
      <c r="F2" t="s">
        <v>12</v>
      </c>
      <c r="I2">
        <v>2</v>
      </c>
      <c r="K2" t="s">
        <v>7</v>
      </c>
      <c r="O2">
        <v>5</v>
      </c>
    </row>
    <row r="3" spans="1:42" x14ac:dyDescent="0.35">
      <c r="A3">
        <v>3</v>
      </c>
      <c r="B3" s="13" t="s">
        <v>40</v>
      </c>
      <c r="C3" s="14">
        <v>45223</v>
      </c>
      <c r="F3" t="s">
        <v>0</v>
      </c>
      <c r="H3" s="1">
        <v>46209</v>
      </c>
      <c r="K3" t="s">
        <v>16</v>
      </c>
      <c r="O3">
        <v>500</v>
      </c>
    </row>
    <row r="4" spans="1:42" x14ac:dyDescent="0.35">
      <c r="A4">
        <v>4</v>
      </c>
      <c r="B4" s="13"/>
      <c r="C4" s="13"/>
      <c r="F4" t="s">
        <v>39</v>
      </c>
      <c r="H4">
        <v>750</v>
      </c>
      <c r="K4" t="s">
        <v>41</v>
      </c>
      <c r="M4" s="20">
        <v>46179</v>
      </c>
    </row>
    <row r="5" spans="1:42" x14ac:dyDescent="0.35">
      <c r="A5">
        <v>5</v>
      </c>
      <c r="K5" s="1"/>
      <c r="L5" s="1"/>
    </row>
    <row r="6" spans="1:42" x14ac:dyDescent="0.35">
      <c r="A6">
        <v>6</v>
      </c>
      <c r="B6" s="6" t="s">
        <v>19</v>
      </c>
      <c r="C6" s="7"/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8">
        <v>7</v>
      </c>
    </row>
    <row r="7" spans="1:42" x14ac:dyDescent="0.35">
      <c r="A7">
        <v>7</v>
      </c>
      <c r="B7" s="9"/>
      <c r="C7" s="10"/>
      <c r="D7" s="10">
        <v>0.2</v>
      </c>
      <c r="E7" s="10">
        <v>0.2</v>
      </c>
      <c r="F7" s="10">
        <v>0.2</v>
      </c>
      <c r="G7" s="10">
        <v>0.2</v>
      </c>
      <c r="H7" s="10">
        <v>0.2</v>
      </c>
      <c r="I7" s="10">
        <v>0</v>
      </c>
      <c r="J7" s="11">
        <v>0</v>
      </c>
    </row>
    <row r="8" spans="1:42" x14ac:dyDescent="0.35">
      <c r="A8">
        <v>8</v>
      </c>
    </row>
    <row r="9" spans="1:42" x14ac:dyDescent="0.35">
      <c r="A9">
        <v>9</v>
      </c>
    </row>
    <row r="10" spans="1:42" x14ac:dyDescent="0.35">
      <c r="A10">
        <v>10</v>
      </c>
      <c r="C10" t="s">
        <v>45</v>
      </c>
      <c r="D10">
        <v>0</v>
      </c>
      <c r="G10" s="12">
        <v>0</v>
      </c>
      <c r="H10" s="12">
        <v>7</v>
      </c>
      <c r="I10" s="12">
        <v>14</v>
      </c>
      <c r="J10" s="12">
        <v>21</v>
      </c>
    </row>
    <row r="11" spans="1:42" x14ac:dyDescent="0.35">
      <c r="A11">
        <v>11</v>
      </c>
      <c r="C11" t="s">
        <v>3</v>
      </c>
      <c r="G11" s="1">
        <f>$H$3+G10</f>
        <v>46209</v>
      </c>
      <c r="H11" s="1">
        <f>$H$3+H10</f>
        <v>46216</v>
      </c>
      <c r="I11" s="1">
        <f>$H$3+I10</f>
        <v>46223</v>
      </c>
      <c r="J11" s="1">
        <f>$H$3+J10</f>
        <v>46230</v>
      </c>
    </row>
    <row r="12" spans="1:42" ht="15" thickBot="1" x14ac:dyDescent="0.4">
      <c r="A12">
        <v>12</v>
      </c>
      <c r="C12" t="s">
        <v>4</v>
      </c>
      <c r="G12">
        <f>WEEKNUM($H$3)+0</f>
        <v>28</v>
      </c>
      <c r="H12">
        <f>WEEKNUM($H$3)+1</f>
        <v>29</v>
      </c>
      <c r="I12">
        <f>WEEKNUM($H$3)+2</f>
        <v>30</v>
      </c>
      <c r="J12">
        <f>WEEKNUM($H$3)+3</f>
        <v>31</v>
      </c>
      <c r="K12" s="13">
        <v>32</v>
      </c>
      <c r="L12" s="13">
        <v>33</v>
      </c>
      <c r="M12" s="13">
        <v>34</v>
      </c>
      <c r="N12" s="13">
        <v>35</v>
      </c>
    </row>
    <row r="13" spans="1:42" ht="15" thickBot="1" x14ac:dyDescent="0.4">
      <c r="A13">
        <v>13</v>
      </c>
      <c r="C13" t="s">
        <v>2</v>
      </c>
      <c r="G13" s="5">
        <f>($D$1/4)</f>
        <v>500</v>
      </c>
      <c r="H13" s="5">
        <f>($D$1/4)</f>
        <v>500</v>
      </c>
      <c r="I13" s="5">
        <f>($D$1/4)</f>
        <v>500</v>
      </c>
      <c r="J13" s="5">
        <f>($D$1/4)</f>
        <v>500</v>
      </c>
      <c r="K13" s="13">
        <v>0</v>
      </c>
      <c r="L13" s="13">
        <v>0</v>
      </c>
      <c r="M13" s="13">
        <v>0</v>
      </c>
      <c r="N13" s="13">
        <v>0</v>
      </c>
    </row>
    <row r="14" spans="1:42" x14ac:dyDescent="0.35">
      <c r="A14">
        <v>14</v>
      </c>
      <c r="C14" t="s">
        <v>43</v>
      </c>
      <c r="G14" s="19">
        <v>100</v>
      </c>
      <c r="H14">
        <v>0</v>
      </c>
      <c r="I14">
        <v>0</v>
      </c>
      <c r="J14">
        <v>0</v>
      </c>
    </row>
    <row r="15" spans="1:42" x14ac:dyDescent="0.35">
      <c r="A15">
        <v>15</v>
      </c>
      <c r="AP15" s="15"/>
    </row>
    <row r="16" spans="1:42" x14ac:dyDescent="0.35">
      <c r="A16">
        <v>16</v>
      </c>
    </row>
    <row r="17" spans="1:45" x14ac:dyDescent="0.35">
      <c r="A17">
        <v>17</v>
      </c>
      <c r="C17" t="s">
        <v>6</v>
      </c>
      <c r="G17" s="12">
        <v>0</v>
      </c>
      <c r="H17" s="12">
        <v>1</v>
      </c>
      <c r="I17" s="12">
        <v>2</v>
      </c>
      <c r="J17" s="12">
        <v>3</v>
      </c>
      <c r="K17" s="12">
        <v>4</v>
      </c>
      <c r="L17" s="12">
        <v>5</v>
      </c>
      <c r="M17" s="12">
        <v>6</v>
      </c>
      <c r="N17" s="12">
        <v>7</v>
      </c>
      <c r="O17" s="12">
        <v>8</v>
      </c>
      <c r="P17" s="12">
        <v>9</v>
      </c>
      <c r="Q17" s="12">
        <v>10</v>
      </c>
      <c r="R17" s="12">
        <v>11</v>
      </c>
      <c r="S17" s="12">
        <v>12</v>
      </c>
      <c r="T17" s="12">
        <v>13</v>
      </c>
      <c r="U17" s="12">
        <v>14</v>
      </c>
      <c r="V17" s="12">
        <v>15</v>
      </c>
      <c r="W17" s="12">
        <v>16</v>
      </c>
      <c r="X17" s="12">
        <v>17</v>
      </c>
      <c r="Y17" s="12">
        <v>18</v>
      </c>
      <c r="Z17" s="12">
        <v>19</v>
      </c>
      <c r="AA17" s="12">
        <v>20</v>
      </c>
      <c r="AB17" s="12">
        <v>21</v>
      </c>
      <c r="AC17" s="12">
        <v>22</v>
      </c>
      <c r="AD17" s="12">
        <v>23</v>
      </c>
      <c r="AE17" s="12">
        <v>24</v>
      </c>
      <c r="AF17" s="12">
        <v>25</v>
      </c>
      <c r="AG17" s="12">
        <v>26</v>
      </c>
      <c r="AH17" s="12">
        <v>27</v>
      </c>
      <c r="AI17" s="12">
        <v>28</v>
      </c>
      <c r="AJ17" s="12">
        <v>29</v>
      </c>
      <c r="AK17" s="12">
        <v>30</v>
      </c>
      <c r="AL17" s="12">
        <v>31</v>
      </c>
      <c r="AM17" s="12">
        <v>32</v>
      </c>
      <c r="AN17" s="12">
        <v>33</v>
      </c>
      <c r="AO17" s="12">
        <v>34</v>
      </c>
      <c r="AP17" s="12">
        <v>35</v>
      </c>
      <c r="AQ17" s="12">
        <v>36</v>
      </c>
      <c r="AR17" s="12">
        <v>37</v>
      </c>
      <c r="AS17" s="12">
        <v>38</v>
      </c>
    </row>
    <row r="18" spans="1:45" x14ac:dyDescent="0.35">
      <c r="A18">
        <v>18</v>
      </c>
      <c r="G18" s="1">
        <f t="shared" ref="G18:AS18" si="0">$G$11+G17-$N$1</f>
        <v>46174</v>
      </c>
      <c r="H18" s="1">
        <f t="shared" si="0"/>
        <v>46175</v>
      </c>
      <c r="I18" s="1">
        <f t="shared" si="0"/>
        <v>46176</v>
      </c>
      <c r="J18" s="1">
        <f t="shared" si="0"/>
        <v>46177</v>
      </c>
      <c r="K18" s="1">
        <f t="shared" si="0"/>
        <v>46178</v>
      </c>
      <c r="L18" s="1">
        <f t="shared" si="0"/>
        <v>46179</v>
      </c>
      <c r="M18" s="1">
        <f t="shared" si="0"/>
        <v>46180</v>
      </c>
      <c r="N18" s="1">
        <f t="shared" si="0"/>
        <v>46181</v>
      </c>
      <c r="O18" s="1">
        <f t="shared" si="0"/>
        <v>46182</v>
      </c>
      <c r="P18" s="1">
        <f t="shared" si="0"/>
        <v>46183</v>
      </c>
      <c r="Q18" s="1">
        <f t="shared" si="0"/>
        <v>46184</v>
      </c>
      <c r="R18" s="1">
        <f t="shared" si="0"/>
        <v>46185</v>
      </c>
      <c r="S18" s="1">
        <f t="shared" si="0"/>
        <v>46186</v>
      </c>
      <c r="T18" s="1">
        <f t="shared" si="0"/>
        <v>46187</v>
      </c>
      <c r="U18" s="1">
        <f t="shared" si="0"/>
        <v>46188</v>
      </c>
      <c r="V18" s="1">
        <f t="shared" si="0"/>
        <v>46189</v>
      </c>
      <c r="W18" s="1">
        <f t="shared" si="0"/>
        <v>46190</v>
      </c>
      <c r="X18" s="1">
        <f t="shared" si="0"/>
        <v>46191</v>
      </c>
      <c r="Y18" s="1">
        <f t="shared" si="0"/>
        <v>46192</v>
      </c>
      <c r="Z18" s="1">
        <f t="shared" si="0"/>
        <v>46193</v>
      </c>
      <c r="AA18" s="1">
        <f t="shared" si="0"/>
        <v>46194</v>
      </c>
      <c r="AB18" s="1">
        <f t="shared" si="0"/>
        <v>46195</v>
      </c>
      <c r="AC18" s="1">
        <f t="shared" si="0"/>
        <v>46196</v>
      </c>
      <c r="AD18" s="1">
        <f t="shared" si="0"/>
        <v>46197</v>
      </c>
      <c r="AE18" s="1">
        <f t="shared" si="0"/>
        <v>46198</v>
      </c>
      <c r="AF18" s="1">
        <f t="shared" si="0"/>
        <v>46199</v>
      </c>
      <c r="AG18" s="1">
        <f t="shared" si="0"/>
        <v>46200</v>
      </c>
      <c r="AH18" s="1">
        <f t="shared" si="0"/>
        <v>46201</v>
      </c>
      <c r="AI18" s="1">
        <f t="shared" si="0"/>
        <v>46202</v>
      </c>
      <c r="AJ18" s="1">
        <f t="shared" si="0"/>
        <v>46203</v>
      </c>
      <c r="AK18" s="1">
        <f t="shared" si="0"/>
        <v>46204</v>
      </c>
      <c r="AL18" s="1">
        <f t="shared" si="0"/>
        <v>46205</v>
      </c>
      <c r="AM18" s="1">
        <f t="shared" si="0"/>
        <v>46206</v>
      </c>
      <c r="AN18" s="1">
        <f t="shared" si="0"/>
        <v>46207</v>
      </c>
      <c r="AO18" s="1">
        <f t="shared" si="0"/>
        <v>46208</v>
      </c>
      <c r="AP18" s="1">
        <f t="shared" si="0"/>
        <v>46209</v>
      </c>
      <c r="AQ18" s="1">
        <f t="shared" si="0"/>
        <v>46210</v>
      </c>
      <c r="AR18" s="1">
        <f t="shared" si="0"/>
        <v>46211</v>
      </c>
      <c r="AS18" s="1">
        <f t="shared" si="0"/>
        <v>46212</v>
      </c>
    </row>
    <row r="19" spans="1:45" x14ac:dyDescent="0.35">
      <c r="A19">
        <v>19</v>
      </c>
      <c r="C19" t="s">
        <v>43</v>
      </c>
      <c r="G19" s="3">
        <f t="shared" ref="G19:AS19" si="1">HLOOKUP(WEEKNUM(G18)+$O$1,$G$12:$N$14,3)*HLOOKUP(WEEKDAY(G18,2),$D$6:$J$7,2)</f>
        <v>20</v>
      </c>
      <c r="H19" s="3">
        <f t="shared" si="1"/>
        <v>20</v>
      </c>
      <c r="I19" s="3">
        <f t="shared" si="1"/>
        <v>20</v>
      </c>
      <c r="J19" s="3">
        <f t="shared" si="1"/>
        <v>20</v>
      </c>
      <c r="K19" s="3">
        <f t="shared" si="1"/>
        <v>20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1"/>
        <v>0</v>
      </c>
      <c r="AF19">
        <f t="shared" si="1"/>
        <v>0</v>
      </c>
      <c r="AG19">
        <f t="shared" si="1"/>
        <v>0</v>
      </c>
      <c r="AH19">
        <f t="shared" si="1"/>
        <v>0</v>
      </c>
      <c r="AI19">
        <f t="shared" si="1"/>
        <v>0</v>
      </c>
      <c r="AJ19">
        <f t="shared" si="1"/>
        <v>0</v>
      </c>
      <c r="AK19">
        <f t="shared" si="1"/>
        <v>0</v>
      </c>
      <c r="AL19">
        <f t="shared" si="1"/>
        <v>0</v>
      </c>
      <c r="AM19">
        <f t="shared" si="1"/>
        <v>0</v>
      </c>
      <c r="AN19">
        <f t="shared" si="1"/>
        <v>0</v>
      </c>
      <c r="AO19">
        <f t="shared" si="1"/>
        <v>0</v>
      </c>
      <c r="AP19">
        <f t="shared" si="1"/>
        <v>0</v>
      </c>
      <c r="AQ19">
        <f t="shared" si="1"/>
        <v>0</v>
      </c>
      <c r="AR19">
        <f t="shared" si="1"/>
        <v>0</v>
      </c>
      <c r="AS19">
        <f t="shared" si="1"/>
        <v>0</v>
      </c>
    </row>
    <row r="20" spans="1:45" x14ac:dyDescent="0.35">
      <c r="A20">
        <v>20</v>
      </c>
      <c r="C20" t="s">
        <v>33</v>
      </c>
      <c r="F20">
        <v>0</v>
      </c>
      <c r="G20">
        <f>F20+G19-F21</f>
        <v>20</v>
      </c>
      <c r="H20">
        <f t="shared" ref="H20:AS20" si="2">G20+H19-G21</f>
        <v>40</v>
      </c>
      <c r="I20">
        <f t="shared" si="2"/>
        <v>60</v>
      </c>
      <c r="J20">
        <f t="shared" si="2"/>
        <v>80</v>
      </c>
      <c r="K20">
        <f t="shared" si="2"/>
        <v>100</v>
      </c>
      <c r="L20">
        <f t="shared" si="2"/>
        <v>100</v>
      </c>
      <c r="M20">
        <f t="shared" si="2"/>
        <v>100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0</v>
      </c>
      <c r="AJ20">
        <f t="shared" si="2"/>
        <v>0</v>
      </c>
      <c r="AK20">
        <f t="shared" si="2"/>
        <v>0</v>
      </c>
      <c r="AL20">
        <f t="shared" si="2"/>
        <v>0</v>
      </c>
      <c r="AM20">
        <f t="shared" si="2"/>
        <v>0</v>
      </c>
      <c r="AN20">
        <f t="shared" si="2"/>
        <v>0</v>
      </c>
      <c r="AO20">
        <f t="shared" si="2"/>
        <v>0</v>
      </c>
      <c r="AP20">
        <f t="shared" si="2"/>
        <v>0</v>
      </c>
      <c r="AQ20">
        <f t="shared" si="2"/>
        <v>0</v>
      </c>
      <c r="AR20">
        <f t="shared" si="2"/>
        <v>0</v>
      </c>
      <c r="AS20">
        <f t="shared" si="2"/>
        <v>0</v>
      </c>
    </row>
    <row r="21" spans="1:45" x14ac:dyDescent="0.35">
      <c r="A21">
        <v>21</v>
      </c>
      <c r="C21" t="s">
        <v>42</v>
      </c>
      <c r="F21">
        <v>0</v>
      </c>
      <c r="G21">
        <f t="shared" ref="G21:AS21" si="3">IF(G18&gt;$M$4,G20,0)</f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 s="19">
        <f t="shared" si="3"/>
        <v>100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0</v>
      </c>
      <c r="Z21">
        <f t="shared" si="3"/>
        <v>0</v>
      </c>
      <c r="AA21">
        <f t="shared" si="3"/>
        <v>0</v>
      </c>
      <c r="AB21">
        <f t="shared" si="3"/>
        <v>0</v>
      </c>
      <c r="AC21">
        <f t="shared" si="3"/>
        <v>0</v>
      </c>
      <c r="AD21">
        <f t="shared" si="3"/>
        <v>0</v>
      </c>
      <c r="AE21">
        <f t="shared" si="3"/>
        <v>0</v>
      </c>
      <c r="AF21">
        <f t="shared" si="3"/>
        <v>0</v>
      </c>
      <c r="AG21">
        <f t="shared" si="3"/>
        <v>0</v>
      </c>
      <c r="AH21">
        <f t="shared" si="3"/>
        <v>0</v>
      </c>
      <c r="AI21">
        <f t="shared" si="3"/>
        <v>0</v>
      </c>
      <c r="AJ21">
        <f t="shared" si="3"/>
        <v>0</v>
      </c>
      <c r="AK21">
        <f t="shared" si="3"/>
        <v>0</v>
      </c>
      <c r="AL21">
        <f t="shared" si="3"/>
        <v>0</v>
      </c>
      <c r="AM21">
        <f t="shared" si="3"/>
        <v>0</v>
      </c>
      <c r="AN21">
        <f t="shared" si="3"/>
        <v>0</v>
      </c>
      <c r="AO21">
        <f t="shared" si="3"/>
        <v>0</v>
      </c>
      <c r="AP21">
        <f t="shared" si="3"/>
        <v>0</v>
      </c>
      <c r="AQ21">
        <f t="shared" si="3"/>
        <v>0</v>
      </c>
      <c r="AR21">
        <f t="shared" si="3"/>
        <v>0</v>
      </c>
      <c r="AS21">
        <f t="shared" si="3"/>
        <v>0</v>
      </c>
    </row>
    <row r="22" spans="1:45" x14ac:dyDescent="0.35">
      <c r="A22">
        <v>22</v>
      </c>
      <c r="C22" s="17" t="s">
        <v>38</v>
      </c>
      <c r="D22" s="18">
        <f>SUM(G22:AS22)</f>
        <v>2100</v>
      </c>
      <c r="G22" s="3">
        <f>HLOOKUP(WEEKNUM(G18)+$O$1,$G$12:$N$13,2)*_xlfn.XLOOKUP(WEEKDAY(G18,2),$D$6:$J$6,$D$7:$J$7,-1,0,2)+G21</f>
        <v>100</v>
      </c>
      <c r="H22" s="3">
        <f t="shared" ref="H22:AS22" si="4">HLOOKUP(WEEKNUM(H18)+$O$1,$G$12:$N$13,2)*_xlfn.XLOOKUP(WEEKDAY(H18,2),$D$6:$J$6,$D$7:$J$7,-1,0,2)+H21</f>
        <v>100</v>
      </c>
      <c r="I22" s="3">
        <f t="shared" si="4"/>
        <v>100</v>
      </c>
      <c r="J22" s="3">
        <f t="shared" si="4"/>
        <v>100</v>
      </c>
      <c r="K22" s="3">
        <f t="shared" si="4"/>
        <v>100</v>
      </c>
      <c r="L22" s="3">
        <f t="shared" si="4"/>
        <v>0</v>
      </c>
      <c r="M22" s="3">
        <f t="shared" si="4"/>
        <v>100</v>
      </c>
      <c r="N22" s="3">
        <f t="shared" si="4"/>
        <v>100</v>
      </c>
      <c r="O22" s="3">
        <f t="shared" si="4"/>
        <v>100</v>
      </c>
      <c r="P22" s="3">
        <f t="shared" si="4"/>
        <v>100</v>
      </c>
      <c r="Q22" s="3">
        <f t="shared" si="4"/>
        <v>100</v>
      </c>
      <c r="R22" s="3">
        <f t="shared" si="4"/>
        <v>100</v>
      </c>
      <c r="S22" s="3">
        <f t="shared" si="4"/>
        <v>0</v>
      </c>
      <c r="T22" s="3">
        <f t="shared" si="4"/>
        <v>0</v>
      </c>
      <c r="U22" s="3">
        <f t="shared" si="4"/>
        <v>100</v>
      </c>
      <c r="V22" s="3">
        <f t="shared" si="4"/>
        <v>100</v>
      </c>
      <c r="W22" s="3">
        <f t="shared" si="4"/>
        <v>100</v>
      </c>
      <c r="X22" s="3">
        <f t="shared" si="4"/>
        <v>100</v>
      </c>
      <c r="Y22" s="3">
        <f t="shared" si="4"/>
        <v>100</v>
      </c>
      <c r="Z22" s="3">
        <f t="shared" si="4"/>
        <v>0</v>
      </c>
      <c r="AA22" s="3">
        <f t="shared" si="4"/>
        <v>0</v>
      </c>
      <c r="AB22" s="3">
        <f t="shared" si="4"/>
        <v>100</v>
      </c>
      <c r="AC22" s="3">
        <f t="shared" si="4"/>
        <v>100</v>
      </c>
      <c r="AD22" s="3">
        <f t="shared" si="4"/>
        <v>100</v>
      </c>
      <c r="AE22" s="3">
        <f t="shared" si="4"/>
        <v>100</v>
      </c>
      <c r="AF22" s="3">
        <f t="shared" si="4"/>
        <v>100</v>
      </c>
      <c r="AG22" s="3">
        <f t="shared" si="4"/>
        <v>0</v>
      </c>
      <c r="AH22" s="3">
        <f t="shared" si="4"/>
        <v>0</v>
      </c>
      <c r="AI22" s="3">
        <f t="shared" si="4"/>
        <v>0</v>
      </c>
      <c r="AJ22" s="3">
        <f t="shared" si="4"/>
        <v>0</v>
      </c>
      <c r="AK22" s="3">
        <f t="shared" si="4"/>
        <v>0</v>
      </c>
      <c r="AL22" s="3">
        <f t="shared" si="4"/>
        <v>0</v>
      </c>
      <c r="AM22" s="3">
        <f t="shared" si="4"/>
        <v>0</v>
      </c>
      <c r="AN22" s="3">
        <f t="shared" si="4"/>
        <v>0</v>
      </c>
      <c r="AO22" s="3">
        <f t="shared" si="4"/>
        <v>0</v>
      </c>
      <c r="AP22" s="3">
        <f t="shared" si="4"/>
        <v>0</v>
      </c>
      <c r="AQ22" s="3">
        <f t="shared" si="4"/>
        <v>0</v>
      </c>
      <c r="AR22" s="3">
        <f t="shared" si="4"/>
        <v>0</v>
      </c>
      <c r="AS22" s="3">
        <f t="shared" si="4"/>
        <v>0</v>
      </c>
    </row>
    <row r="23" spans="1:45" x14ac:dyDescent="0.35">
      <c r="A23">
        <v>23</v>
      </c>
    </row>
    <row r="24" spans="1:45" x14ac:dyDescent="0.35">
      <c r="A24">
        <v>24</v>
      </c>
    </row>
    <row r="25" spans="1:45" x14ac:dyDescent="0.35">
      <c r="A25">
        <v>25</v>
      </c>
    </row>
    <row r="26" spans="1:45" x14ac:dyDescent="0.35">
      <c r="A26">
        <v>26</v>
      </c>
      <c r="C26" t="s">
        <v>8</v>
      </c>
      <c r="G26" s="1">
        <f t="shared" ref="G26:AS26" si="5">G18+$O$2</f>
        <v>46179</v>
      </c>
      <c r="H26" s="1">
        <f t="shared" si="5"/>
        <v>46180</v>
      </c>
      <c r="I26" s="1">
        <f t="shared" si="5"/>
        <v>46181</v>
      </c>
      <c r="J26" s="1">
        <f t="shared" si="5"/>
        <v>46182</v>
      </c>
      <c r="K26" s="1">
        <f t="shared" si="5"/>
        <v>46183</v>
      </c>
      <c r="L26" s="1">
        <f t="shared" si="5"/>
        <v>46184</v>
      </c>
      <c r="M26" s="1">
        <f t="shared" si="5"/>
        <v>46185</v>
      </c>
      <c r="N26" s="1">
        <f t="shared" si="5"/>
        <v>46186</v>
      </c>
      <c r="O26" s="1">
        <f t="shared" si="5"/>
        <v>46187</v>
      </c>
      <c r="P26" s="1">
        <f t="shared" si="5"/>
        <v>46188</v>
      </c>
      <c r="Q26" s="1">
        <f t="shared" si="5"/>
        <v>46189</v>
      </c>
      <c r="R26" s="1">
        <f t="shared" si="5"/>
        <v>46190</v>
      </c>
      <c r="S26" s="1">
        <f t="shared" si="5"/>
        <v>46191</v>
      </c>
      <c r="T26" s="1">
        <f t="shared" si="5"/>
        <v>46192</v>
      </c>
      <c r="U26" s="1">
        <f t="shared" si="5"/>
        <v>46193</v>
      </c>
      <c r="V26" s="1">
        <f t="shared" si="5"/>
        <v>46194</v>
      </c>
      <c r="W26" s="1">
        <f t="shared" si="5"/>
        <v>46195</v>
      </c>
      <c r="X26" s="1">
        <f t="shared" si="5"/>
        <v>46196</v>
      </c>
      <c r="Y26" s="1">
        <f t="shared" si="5"/>
        <v>46197</v>
      </c>
      <c r="Z26" s="1">
        <f t="shared" si="5"/>
        <v>46198</v>
      </c>
      <c r="AA26" s="1">
        <f t="shared" si="5"/>
        <v>46199</v>
      </c>
      <c r="AB26" s="1">
        <f t="shared" si="5"/>
        <v>46200</v>
      </c>
      <c r="AC26" s="1">
        <f t="shared" si="5"/>
        <v>46201</v>
      </c>
      <c r="AD26" s="1">
        <f t="shared" si="5"/>
        <v>46202</v>
      </c>
      <c r="AE26" s="1">
        <f t="shared" si="5"/>
        <v>46203</v>
      </c>
      <c r="AF26" s="1">
        <f t="shared" si="5"/>
        <v>46204</v>
      </c>
      <c r="AG26" s="1">
        <f t="shared" si="5"/>
        <v>46205</v>
      </c>
      <c r="AH26" s="1">
        <f t="shared" si="5"/>
        <v>46206</v>
      </c>
      <c r="AI26" s="1">
        <f t="shared" si="5"/>
        <v>46207</v>
      </c>
      <c r="AJ26" s="1">
        <f t="shared" si="5"/>
        <v>46208</v>
      </c>
      <c r="AK26" s="1">
        <f t="shared" si="5"/>
        <v>46209</v>
      </c>
      <c r="AL26" s="1">
        <f t="shared" si="5"/>
        <v>46210</v>
      </c>
      <c r="AM26" s="1">
        <f t="shared" si="5"/>
        <v>46211</v>
      </c>
      <c r="AN26" s="1">
        <f t="shared" si="5"/>
        <v>46212</v>
      </c>
      <c r="AO26" s="1">
        <f t="shared" si="5"/>
        <v>46213</v>
      </c>
      <c r="AP26" s="1">
        <f t="shared" si="5"/>
        <v>46214</v>
      </c>
      <c r="AQ26" s="1">
        <f t="shared" si="5"/>
        <v>46215</v>
      </c>
      <c r="AR26" s="1">
        <f t="shared" si="5"/>
        <v>46216</v>
      </c>
      <c r="AS26" s="1">
        <f t="shared" si="5"/>
        <v>46217</v>
      </c>
    </row>
    <row r="27" spans="1:45" x14ac:dyDescent="0.35">
      <c r="A27">
        <v>27</v>
      </c>
      <c r="C27" t="s">
        <v>9</v>
      </c>
      <c r="G27" s="3">
        <f>G22</f>
        <v>100</v>
      </c>
      <c r="H27" s="3">
        <f t="shared" ref="H27:AF27" si="6">H22</f>
        <v>100</v>
      </c>
      <c r="I27" s="3">
        <f t="shared" si="6"/>
        <v>100</v>
      </c>
      <c r="J27" s="3">
        <f t="shared" si="6"/>
        <v>100</v>
      </c>
      <c r="K27" s="3">
        <f t="shared" si="6"/>
        <v>100</v>
      </c>
      <c r="L27">
        <f t="shared" si="6"/>
        <v>0</v>
      </c>
      <c r="M27">
        <f t="shared" si="6"/>
        <v>100</v>
      </c>
      <c r="N27">
        <f t="shared" si="6"/>
        <v>100</v>
      </c>
      <c r="O27">
        <f t="shared" si="6"/>
        <v>100</v>
      </c>
      <c r="P27">
        <f t="shared" si="6"/>
        <v>100</v>
      </c>
      <c r="Q27">
        <f t="shared" si="6"/>
        <v>100</v>
      </c>
      <c r="R27">
        <f t="shared" si="6"/>
        <v>100</v>
      </c>
      <c r="S27">
        <f t="shared" si="6"/>
        <v>0</v>
      </c>
      <c r="T27">
        <f t="shared" si="6"/>
        <v>0</v>
      </c>
      <c r="U27">
        <f t="shared" si="6"/>
        <v>100</v>
      </c>
      <c r="V27">
        <f t="shared" si="6"/>
        <v>100</v>
      </c>
      <c r="W27">
        <f t="shared" si="6"/>
        <v>100</v>
      </c>
      <c r="X27">
        <f t="shared" si="6"/>
        <v>100</v>
      </c>
      <c r="Y27">
        <f t="shared" si="6"/>
        <v>100</v>
      </c>
      <c r="Z27">
        <f t="shared" si="6"/>
        <v>0</v>
      </c>
      <c r="AA27">
        <f t="shared" si="6"/>
        <v>0</v>
      </c>
      <c r="AB27">
        <f t="shared" si="6"/>
        <v>100</v>
      </c>
      <c r="AC27">
        <f t="shared" si="6"/>
        <v>100</v>
      </c>
      <c r="AD27">
        <f t="shared" si="6"/>
        <v>100</v>
      </c>
      <c r="AE27">
        <f t="shared" si="6"/>
        <v>100</v>
      </c>
      <c r="AF27">
        <f t="shared" si="6"/>
        <v>100</v>
      </c>
      <c r="AG27">
        <f t="shared" ref="AG27:AS27" si="7">AG22</f>
        <v>0</v>
      </c>
      <c r="AH27">
        <f t="shared" si="7"/>
        <v>0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  <c r="AO27">
        <f t="shared" si="7"/>
        <v>0</v>
      </c>
      <c r="AP27">
        <f t="shared" si="7"/>
        <v>0</v>
      </c>
      <c r="AQ27">
        <f t="shared" si="7"/>
        <v>0</v>
      </c>
      <c r="AR27">
        <f t="shared" si="7"/>
        <v>0</v>
      </c>
      <c r="AS27">
        <f t="shared" si="7"/>
        <v>0</v>
      </c>
    </row>
    <row r="28" spans="1:45" x14ac:dyDescent="0.35">
      <c r="A28">
        <v>28</v>
      </c>
      <c r="C28" s="17" t="s">
        <v>38</v>
      </c>
      <c r="D28" s="18">
        <f>SUM(G27:AS27)</f>
        <v>2100</v>
      </c>
    </row>
    <row r="29" spans="1:45" x14ac:dyDescent="0.35">
      <c r="A29">
        <v>29</v>
      </c>
    </row>
    <row r="30" spans="1:45" x14ac:dyDescent="0.35">
      <c r="A30">
        <v>30</v>
      </c>
    </row>
    <row r="31" spans="1:45" x14ac:dyDescent="0.35">
      <c r="A31">
        <v>31</v>
      </c>
      <c r="C31" t="s">
        <v>10</v>
      </c>
      <c r="F31">
        <v>0</v>
      </c>
      <c r="G31">
        <f>F31+G27-F32</f>
        <v>100</v>
      </c>
      <c r="H31">
        <f t="shared" ref="H31:AF31" si="8">G31+H27-G32</f>
        <v>200</v>
      </c>
      <c r="I31">
        <f t="shared" si="8"/>
        <v>300</v>
      </c>
      <c r="J31">
        <f t="shared" si="8"/>
        <v>150</v>
      </c>
      <c r="K31">
        <f t="shared" si="8"/>
        <v>250</v>
      </c>
      <c r="L31">
        <f t="shared" si="8"/>
        <v>0</v>
      </c>
      <c r="M31">
        <f t="shared" si="8"/>
        <v>100</v>
      </c>
      <c r="N31">
        <f t="shared" si="8"/>
        <v>200</v>
      </c>
      <c r="O31">
        <f t="shared" si="8"/>
        <v>300</v>
      </c>
      <c r="P31">
        <f t="shared" si="8"/>
        <v>150</v>
      </c>
      <c r="Q31">
        <f t="shared" si="8"/>
        <v>250</v>
      </c>
      <c r="R31">
        <f t="shared" si="8"/>
        <v>100</v>
      </c>
      <c r="S31">
        <f t="shared" si="8"/>
        <v>100</v>
      </c>
      <c r="T31">
        <f t="shared" si="8"/>
        <v>100</v>
      </c>
      <c r="U31">
        <f t="shared" si="8"/>
        <v>200</v>
      </c>
      <c r="V31">
        <f t="shared" si="8"/>
        <v>300</v>
      </c>
      <c r="W31">
        <f t="shared" si="8"/>
        <v>150</v>
      </c>
      <c r="X31">
        <f t="shared" si="8"/>
        <v>250</v>
      </c>
      <c r="Y31">
        <f t="shared" si="8"/>
        <v>100</v>
      </c>
      <c r="Z31">
        <f t="shared" si="8"/>
        <v>100</v>
      </c>
      <c r="AA31">
        <f t="shared" si="8"/>
        <v>100</v>
      </c>
      <c r="AB31">
        <f t="shared" si="8"/>
        <v>200</v>
      </c>
      <c r="AC31">
        <f t="shared" si="8"/>
        <v>300</v>
      </c>
      <c r="AD31">
        <f t="shared" si="8"/>
        <v>150</v>
      </c>
      <c r="AE31">
        <f t="shared" si="8"/>
        <v>250</v>
      </c>
      <c r="AF31">
        <f t="shared" si="8"/>
        <v>100</v>
      </c>
      <c r="AG31">
        <f t="shared" ref="AG31" si="9">AF31+AG27-AF32</f>
        <v>100</v>
      </c>
      <c r="AH31">
        <f t="shared" ref="AH31" si="10">AG31+AH27-AG32</f>
        <v>100</v>
      </c>
      <c r="AI31">
        <f t="shared" ref="AI31" si="11">AH31+AI27-AH32</f>
        <v>100</v>
      </c>
      <c r="AJ31">
        <f t="shared" ref="AJ31" si="12">AI31+AJ27-AI32</f>
        <v>100</v>
      </c>
      <c r="AK31">
        <f t="shared" ref="AK31" si="13">AJ31+AK27-AJ32</f>
        <v>100</v>
      </c>
      <c r="AL31">
        <f t="shared" ref="AL31" si="14">AK31+AL27-AK32</f>
        <v>100</v>
      </c>
      <c r="AM31">
        <f t="shared" ref="AM31" si="15">AL31+AM27-AL32</f>
        <v>100</v>
      </c>
      <c r="AN31">
        <f t="shared" ref="AN31" si="16">AM31+AN27-AM32</f>
        <v>100</v>
      </c>
      <c r="AO31">
        <f t="shared" ref="AO31" si="17">AN31+AO27-AN32</f>
        <v>100</v>
      </c>
      <c r="AP31">
        <f t="shared" ref="AP31" si="18">AO31+AP27-AO32</f>
        <v>100</v>
      </c>
      <c r="AQ31">
        <f t="shared" ref="AQ31" si="19">AP31+AQ27-AP32</f>
        <v>100</v>
      </c>
      <c r="AR31">
        <f t="shared" ref="AR31" si="20">AQ31+AR27-AQ32</f>
        <v>100</v>
      </c>
      <c r="AS31">
        <f t="shared" ref="AS31" si="21">AR31+AS27-AR32</f>
        <v>100</v>
      </c>
    </row>
    <row r="32" spans="1:45" x14ac:dyDescent="0.35">
      <c r="A32">
        <v>32</v>
      </c>
      <c r="C32" t="s">
        <v>11</v>
      </c>
      <c r="F32">
        <v>0</v>
      </c>
      <c r="G32">
        <f t="shared" ref="G32:AS32" si="22">IF(AND(G31&gt;0,G31&gt;=$I$1),INT(G31/$I$1)*$I$1,0)</f>
        <v>0</v>
      </c>
      <c r="H32">
        <f t="shared" si="22"/>
        <v>0</v>
      </c>
      <c r="I32" s="3">
        <f t="shared" si="22"/>
        <v>250</v>
      </c>
      <c r="J32">
        <f t="shared" si="22"/>
        <v>0</v>
      </c>
      <c r="K32" s="3">
        <f t="shared" si="22"/>
        <v>250</v>
      </c>
      <c r="L32">
        <f t="shared" si="22"/>
        <v>0</v>
      </c>
      <c r="M32">
        <f t="shared" si="22"/>
        <v>0</v>
      </c>
      <c r="N32">
        <f t="shared" si="22"/>
        <v>0</v>
      </c>
      <c r="O32">
        <f t="shared" si="22"/>
        <v>250</v>
      </c>
      <c r="P32">
        <f t="shared" si="22"/>
        <v>0</v>
      </c>
      <c r="Q32">
        <f t="shared" si="22"/>
        <v>250</v>
      </c>
      <c r="R32">
        <f t="shared" si="22"/>
        <v>0</v>
      </c>
      <c r="S32">
        <f t="shared" si="22"/>
        <v>0</v>
      </c>
      <c r="T32">
        <f t="shared" si="22"/>
        <v>0</v>
      </c>
      <c r="U32">
        <f t="shared" si="22"/>
        <v>0</v>
      </c>
      <c r="V32">
        <f t="shared" si="22"/>
        <v>250</v>
      </c>
      <c r="W32">
        <f t="shared" si="22"/>
        <v>0</v>
      </c>
      <c r="X32">
        <f t="shared" si="22"/>
        <v>250</v>
      </c>
      <c r="Y32">
        <f t="shared" si="22"/>
        <v>0</v>
      </c>
      <c r="Z32">
        <f t="shared" si="22"/>
        <v>0</v>
      </c>
      <c r="AA32">
        <f t="shared" si="22"/>
        <v>0</v>
      </c>
      <c r="AB32">
        <f t="shared" si="22"/>
        <v>0</v>
      </c>
      <c r="AC32">
        <f t="shared" si="22"/>
        <v>250</v>
      </c>
      <c r="AD32">
        <f t="shared" si="22"/>
        <v>0</v>
      </c>
      <c r="AE32">
        <f t="shared" si="22"/>
        <v>250</v>
      </c>
      <c r="AF32">
        <f t="shared" si="22"/>
        <v>0</v>
      </c>
      <c r="AG32">
        <f t="shared" si="22"/>
        <v>0</v>
      </c>
      <c r="AH32">
        <f t="shared" si="22"/>
        <v>0</v>
      </c>
      <c r="AI32">
        <f t="shared" si="22"/>
        <v>0</v>
      </c>
      <c r="AJ32">
        <f t="shared" si="22"/>
        <v>0</v>
      </c>
      <c r="AK32">
        <f t="shared" si="22"/>
        <v>0</v>
      </c>
      <c r="AL32">
        <f t="shared" si="22"/>
        <v>0</v>
      </c>
      <c r="AM32">
        <f t="shared" si="22"/>
        <v>0</v>
      </c>
      <c r="AN32">
        <f t="shared" si="22"/>
        <v>0</v>
      </c>
      <c r="AO32">
        <f t="shared" si="22"/>
        <v>0</v>
      </c>
      <c r="AP32">
        <f t="shared" si="22"/>
        <v>0</v>
      </c>
      <c r="AQ32">
        <f t="shared" si="22"/>
        <v>0</v>
      </c>
      <c r="AR32">
        <f t="shared" si="22"/>
        <v>0</v>
      </c>
      <c r="AS32">
        <f t="shared" si="22"/>
        <v>0</v>
      </c>
    </row>
    <row r="33" spans="1:45" x14ac:dyDescent="0.35">
      <c r="A33">
        <v>33</v>
      </c>
      <c r="C33" s="17" t="s">
        <v>38</v>
      </c>
      <c r="D33" s="18">
        <f>SUM(G32:AS32)</f>
        <v>2000</v>
      </c>
    </row>
    <row r="34" spans="1:45" x14ac:dyDescent="0.35">
      <c r="A34">
        <v>34</v>
      </c>
      <c r="C34" t="s">
        <v>14</v>
      </c>
      <c r="E34" s="13" t="s">
        <v>34</v>
      </c>
      <c r="F34" s="13"/>
      <c r="G34" s="14">
        <f t="shared" ref="G34:AS34" si="23">WORKDAY.INTL(G26,$I$2)</f>
        <v>46182</v>
      </c>
      <c r="H34" s="14">
        <f t="shared" si="23"/>
        <v>46182</v>
      </c>
      <c r="I34" s="14">
        <f t="shared" si="23"/>
        <v>46183</v>
      </c>
      <c r="J34" s="14">
        <f t="shared" si="23"/>
        <v>46184</v>
      </c>
      <c r="K34" s="14">
        <f t="shared" si="23"/>
        <v>46185</v>
      </c>
      <c r="L34" s="14">
        <f t="shared" si="23"/>
        <v>46188</v>
      </c>
      <c r="M34" s="14">
        <f t="shared" si="23"/>
        <v>46189</v>
      </c>
      <c r="N34" s="14">
        <f t="shared" si="23"/>
        <v>46189</v>
      </c>
      <c r="O34" s="14">
        <f t="shared" si="23"/>
        <v>46189</v>
      </c>
      <c r="P34" s="14">
        <f t="shared" si="23"/>
        <v>46190</v>
      </c>
      <c r="Q34" s="14">
        <f t="shared" si="23"/>
        <v>46191</v>
      </c>
      <c r="R34" s="14">
        <f t="shared" si="23"/>
        <v>46192</v>
      </c>
      <c r="S34" s="14">
        <f t="shared" si="23"/>
        <v>46195</v>
      </c>
      <c r="T34" s="14">
        <f t="shared" si="23"/>
        <v>46196</v>
      </c>
      <c r="U34" s="14">
        <f t="shared" si="23"/>
        <v>46196</v>
      </c>
      <c r="V34" s="14">
        <f t="shared" si="23"/>
        <v>46196</v>
      </c>
      <c r="W34" s="14">
        <f t="shared" si="23"/>
        <v>46197</v>
      </c>
      <c r="X34" s="14">
        <f t="shared" si="23"/>
        <v>46198</v>
      </c>
      <c r="Y34" s="14">
        <f t="shared" si="23"/>
        <v>46199</v>
      </c>
      <c r="Z34" s="14">
        <f t="shared" si="23"/>
        <v>46202</v>
      </c>
      <c r="AA34" s="14">
        <f t="shared" si="23"/>
        <v>46203</v>
      </c>
      <c r="AB34" s="14">
        <f t="shared" si="23"/>
        <v>46203</v>
      </c>
      <c r="AC34" s="14">
        <f t="shared" si="23"/>
        <v>46203</v>
      </c>
      <c r="AD34" s="14">
        <f t="shared" si="23"/>
        <v>46204</v>
      </c>
      <c r="AE34" s="14">
        <f t="shared" si="23"/>
        <v>46205</v>
      </c>
      <c r="AF34" s="14">
        <f t="shared" si="23"/>
        <v>46206</v>
      </c>
      <c r="AG34" s="14">
        <f t="shared" si="23"/>
        <v>46209</v>
      </c>
      <c r="AH34" s="14">
        <f t="shared" si="23"/>
        <v>46210</v>
      </c>
      <c r="AI34" s="14">
        <f t="shared" si="23"/>
        <v>46210</v>
      </c>
      <c r="AJ34" s="14">
        <f t="shared" si="23"/>
        <v>46210</v>
      </c>
      <c r="AK34" s="14">
        <f t="shared" si="23"/>
        <v>46211</v>
      </c>
      <c r="AL34" s="14">
        <f t="shared" si="23"/>
        <v>46212</v>
      </c>
      <c r="AM34" s="14">
        <f t="shared" si="23"/>
        <v>46213</v>
      </c>
      <c r="AN34" s="14">
        <f t="shared" si="23"/>
        <v>46216</v>
      </c>
      <c r="AO34" s="14">
        <f t="shared" si="23"/>
        <v>46217</v>
      </c>
      <c r="AP34" s="14">
        <f t="shared" si="23"/>
        <v>46217</v>
      </c>
      <c r="AQ34" s="14">
        <f t="shared" si="23"/>
        <v>46217</v>
      </c>
      <c r="AR34" s="14">
        <f t="shared" si="23"/>
        <v>46218</v>
      </c>
      <c r="AS34" s="14">
        <f t="shared" si="23"/>
        <v>46219</v>
      </c>
    </row>
    <row r="35" spans="1:45" x14ac:dyDescent="0.35">
      <c r="A35">
        <v>35</v>
      </c>
      <c r="C35" s="17" t="s">
        <v>38</v>
      </c>
      <c r="D35" s="18">
        <f>SUM(G35:AS35)</f>
        <v>2000</v>
      </c>
      <c r="G35">
        <f>G32</f>
        <v>0</v>
      </c>
      <c r="H35">
        <f t="shared" ref="H35:AS35" si="24">H32</f>
        <v>0</v>
      </c>
      <c r="I35">
        <f t="shared" si="24"/>
        <v>250</v>
      </c>
      <c r="J35">
        <f t="shared" si="24"/>
        <v>0</v>
      </c>
      <c r="K35">
        <f t="shared" si="24"/>
        <v>250</v>
      </c>
      <c r="L35">
        <f t="shared" si="24"/>
        <v>0</v>
      </c>
      <c r="M35">
        <f t="shared" si="24"/>
        <v>0</v>
      </c>
      <c r="N35">
        <f t="shared" si="24"/>
        <v>0</v>
      </c>
      <c r="O35">
        <f t="shared" si="24"/>
        <v>250</v>
      </c>
      <c r="P35">
        <f t="shared" si="24"/>
        <v>0</v>
      </c>
      <c r="Q35">
        <f t="shared" si="24"/>
        <v>250</v>
      </c>
      <c r="R35">
        <f t="shared" si="24"/>
        <v>0</v>
      </c>
      <c r="S35">
        <f t="shared" si="24"/>
        <v>0</v>
      </c>
      <c r="T35">
        <f t="shared" si="24"/>
        <v>0</v>
      </c>
      <c r="U35">
        <f t="shared" si="24"/>
        <v>0</v>
      </c>
      <c r="V35">
        <f t="shared" si="24"/>
        <v>250</v>
      </c>
      <c r="W35">
        <f t="shared" si="24"/>
        <v>0</v>
      </c>
      <c r="X35">
        <f t="shared" si="24"/>
        <v>250</v>
      </c>
      <c r="Y35">
        <f t="shared" si="24"/>
        <v>0</v>
      </c>
      <c r="Z35">
        <f t="shared" si="24"/>
        <v>0</v>
      </c>
      <c r="AA35">
        <f t="shared" si="24"/>
        <v>0</v>
      </c>
      <c r="AB35">
        <f t="shared" si="24"/>
        <v>0</v>
      </c>
      <c r="AC35">
        <f t="shared" si="24"/>
        <v>250</v>
      </c>
      <c r="AD35">
        <f t="shared" si="24"/>
        <v>0</v>
      </c>
      <c r="AE35">
        <f t="shared" si="24"/>
        <v>250</v>
      </c>
      <c r="AF35">
        <f t="shared" si="24"/>
        <v>0</v>
      </c>
      <c r="AG35">
        <f t="shared" si="24"/>
        <v>0</v>
      </c>
      <c r="AH35">
        <f t="shared" si="24"/>
        <v>0</v>
      </c>
      <c r="AI35">
        <f t="shared" si="24"/>
        <v>0</v>
      </c>
      <c r="AJ35">
        <f t="shared" si="24"/>
        <v>0</v>
      </c>
      <c r="AK35">
        <f t="shared" si="24"/>
        <v>0</v>
      </c>
      <c r="AL35">
        <f t="shared" si="24"/>
        <v>0</v>
      </c>
      <c r="AM35">
        <f t="shared" si="24"/>
        <v>0</v>
      </c>
      <c r="AN35">
        <f t="shared" si="24"/>
        <v>0</v>
      </c>
      <c r="AO35">
        <f t="shared" si="24"/>
        <v>0</v>
      </c>
      <c r="AP35">
        <f t="shared" si="24"/>
        <v>0</v>
      </c>
      <c r="AQ35">
        <f t="shared" si="24"/>
        <v>0</v>
      </c>
      <c r="AR35">
        <f t="shared" si="24"/>
        <v>0</v>
      </c>
      <c r="AS35">
        <f t="shared" si="24"/>
        <v>0</v>
      </c>
    </row>
    <row r="36" spans="1:45" x14ac:dyDescent="0.35">
      <c r="A36">
        <v>36</v>
      </c>
    </row>
    <row r="37" spans="1:45" x14ac:dyDescent="0.35">
      <c r="A37">
        <v>37</v>
      </c>
    </row>
    <row r="38" spans="1:45" x14ac:dyDescent="0.35">
      <c r="A38">
        <v>38</v>
      </c>
    </row>
    <row r="39" spans="1:45" x14ac:dyDescent="0.35">
      <c r="A39">
        <v>39</v>
      </c>
      <c r="C39" t="s">
        <v>20</v>
      </c>
      <c r="G39" s="1">
        <f t="shared" ref="G39:AS39" si="25">$G$26+G17</f>
        <v>46179</v>
      </c>
      <c r="H39" s="1">
        <f t="shared" si="25"/>
        <v>46180</v>
      </c>
      <c r="I39" s="1">
        <f t="shared" si="25"/>
        <v>46181</v>
      </c>
      <c r="J39" s="1">
        <f t="shared" si="25"/>
        <v>46182</v>
      </c>
      <c r="K39" s="1">
        <f t="shared" si="25"/>
        <v>46183</v>
      </c>
      <c r="L39" s="1">
        <f t="shared" si="25"/>
        <v>46184</v>
      </c>
      <c r="M39" s="1">
        <f t="shared" si="25"/>
        <v>46185</v>
      </c>
      <c r="N39" s="1">
        <f t="shared" si="25"/>
        <v>46186</v>
      </c>
      <c r="O39" s="1">
        <f t="shared" si="25"/>
        <v>46187</v>
      </c>
      <c r="P39" s="1">
        <f t="shared" si="25"/>
        <v>46188</v>
      </c>
      <c r="Q39" s="1">
        <f t="shared" si="25"/>
        <v>46189</v>
      </c>
      <c r="R39" s="1">
        <f t="shared" si="25"/>
        <v>46190</v>
      </c>
      <c r="S39" s="1">
        <f t="shared" si="25"/>
        <v>46191</v>
      </c>
      <c r="T39" s="1">
        <f t="shared" si="25"/>
        <v>46192</v>
      </c>
      <c r="U39" s="1">
        <f t="shared" si="25"/>
        <v>46193</v>
      </c>
      <c r="V39" s="1">
        <f t="shared" si="25"/>
        <v>46194</v>
      </c>
      <c r="W39" s="1">
        <f t="shared" si="25"/>
        <v>46195</v>
      </c>
      <c r="X39" s="1">
        <f t="shared" si="25"/>
        <v>46196</v>
      </c>
      <c r="Y39" s="1">
        <f t="shared" si="25"/>
        <v>46197</v>
      </c>
      <c r="Z39" s="1">
        <f t="shared" si="25"/>
        <v>46198</v>
      </c>
      <c r="AA39" s="1">
        <f t="shared" si="25"/>
        <v>46199</v>
      </c>
      <c r="AB39" s="1">
        <f t="shared" si="25"/>
        <v>46200</v>
      </c>
      <c r="AC39" s="1">
        <f t="shared" si="25"/>
        <v>46201</v>
      </c>
      <c r="AD39" s="1">
        <f t="shared" si="25"/>
        <v>46202</v>
      </c>
      <c r="AE39" s="1">
        <f t="shared" si="25"/>
        <v>46203</v>
      </c>
      <c r="AF39" s="1">
        <f t="shared" si="25"/>
        <v>46204</v>
      </c>
      <c r="AG39" s="1">
        <f t="shared" si="25"/>
        <v>46205</v>
      </c>
      <c r="AH39" s="1">
        <f t="shared" si="25"/>
        <v>46206</v>
      </c>
      <c r="AI39" s="1">
        <f t="shared" si="25"/>
        <v>46207</v>
      </c>
      <c r="AJ39" s="1">
        <f t="shared" si="25"/>
        <v>46208</v>
      </c>
      <c r="AK39" s="1">
        <f t="shared" si="25"/>
        <v>46209</v>
      </c>
      <c r="AL39" s="1">
        <f t="shared" si="25"/>
        <v>46210</v>
      </c>
      <c r="AM39" s="1">
        <f t="shared" si="25"/>
        <v>46211</v>
      </c>
      <c r="AN39" s="1">
        <f t="shared" si="25"/>
        <v>46212</v>
      </c>
      <c r="AO39" s="1">
        <f t="shared" si="25"/>
        <v>46213</v>
      </c>
      <c r="AP39" s="1">
        <f t="shared" si="25"/>
        <v>46214</v>
      </c>
      <c r="AQ39" s="1">
        <f t="shared" si="25"/>
        <v>46215</v>
      </c>
      <c r="AR39" s="1">
        <f t="shared" si="25"/>
        <v>46216</v>
      </c>
      <c r="AS39" s="1">
        <f t="shared" si="25"/>
        <v>46217</v>
      </c>
    </row>
    <row r="40" spans="1:45" x14ac:dyDescent="0.35">
      <c r="A40">
        <v>40</v>
      </c>
      <c r="C40" t="s">
        <v>21</v>
      </c>
      <c r="G40">
        <f t="shared" ref="G40:AS40" si="26">SUMIF($G$34:$AH$34,G39,$G$35:$AH$35)</f>
        <v>0</v>
      </c>
      <c r="H40">
        <f t="shared" si="26"/>
        <v>0</v>
      </c>
      <c r="I40">
        <f t="shared" si="26"/>
        <v>0</v>
      </c>
      <c r="J40">
        <f t="shared" si="26"/>
        <v>0</v>
      </c>
      <c r="K40" s="3">
        <f t="shared" si="26"/>
        <v>250</v>
      </c>
      <c r="L40">
        <f t="shared" si="26"/>
        <v>0</v>
      </c>
      <c r="M40" s="3">
        <f t="shared" si="26"/>
        <v>250</v>
      </c>
      <c r="N40">
        <f t="shared" si="26"/>
        <v>0</v>
      </c>
      <c r="O40">
        <f t="shared" si="26"/>
        <v>0</v>
      </c>
      <c r="P40">
        <f t="shared" si="26"/>
        <v>0</v>
      </c>
      <c r="Q40">
        <f t="shared" si="26"/>
        <v>250</v>
      </c>
      <c r="R40">
        <f t="shared" si="26"/>
        <v>0</v>
      </c>
      <c r="S40">
        <f t="shared" si="26"/>
        <v>250</v>
      </c>
      <c r="T40">
        <f t="shared" si="26"/>
        <v>0</v>
      </c>
      <c r="U40">
        <f t="shared" si="26"/>
        <v>0</v>
      </c>
      <c r="V40">
        <f t="shared" si="26"/>
        <v>0</v>
      </c>
      <c r="W40">
        <f t="shared" si="26"/>
        <v>0</v>
      </c>
      <c r="X40">
        <f t="shared" si="26"/>
        <v>250</v>
      </c>
      <c r="Y40">
        <f t="shared" si="26"/>
        <v>0</v>
      </c>
      <c r="Z40">
        <f t="shared" si="26"/>
        <v>250</v>
      </c>
      <c r="AA40">
        <f t="shared" si="26"/>
        <v>0</v>
      </c>
      <c r="AB40">
        <f t="shared" si="26"/>
        <v>0</v>
      </c>
      <c r="AC40">
        <f t="shared" si="26"/>
        <v>0</v>
      </c>
      <c r="AD40">
        <f t="shared" si="26"/>
        <v>0</v>
      </c>
      <c r="AE40">
        <f t="shared" si="26"/>
        <v>250</v>
      </c>
      <c r="AF40">
        <f t="shared" si="26"/>
        <v>0</v>
      </c>
      <c r="AG40">
        <f t="shared" si="26"/>
        <v>250</v>
      </c>
      <c r="AH40">
        <f t="shared" si="26"/>
        <v>0</v>
      </c>
      <c r="AI40">
        <f t="shared" si="26"/>
        <v>0</v>
      </c>
      <c r="AJ40">
        <f t="shared" si="26"/>
        <v>0</v>
      </c>
      <c r="AK40">
        <f t="shared" si="26"/>
        <v>0</v>
      </c>
      <c r="AL40">
        <f t="shared" si="26"/>
        <v>0</v>
      </c>
      <c r="AM40">
        <f t="shared" si="26"/>
        <v>0</v>
      </c>
      <c r="AN40">
        <f t="shared" si="26"/>
        <v>0</v>
      </c>
      <c r="AO40">
        <f t="shared" si="26"/>
        <v>0</v>
      </c>
      <c r="AP40">
        <f t="shared" si="26"/>
        <v>0</v>
      </c>
      <c r="AQ40">
        <f t="shared" si="26"/>
        <v>0</v>
      </c>
      <c r="AR40">
        <f t="shared" si="26"/>
        <v>0</v>
      </c>
      <c r="AS40">
        <f t="shared" si="26"/>
        <v>0</v>
      </c>
    </row>
    <row r="41" spans="1:45" x14ac:dyDescent="0.35">
      <c r="A41">
        <v>41</v>
      </c>
      <c r="C41" t="s">
        <v>17</v>
      </c>
      <c r="F41">
        <v>0</v>
      </c>
      <c r="G41">
        <f>F41+G40-F42</f>
        <v>0</v>
      </c>
      <c r="H41">
        <f t="shared" ref="H41:AF41" si="27">G41+H40-G42</f>
        <v>0</v>
      </c>
      <c r="I41">
        <f t="shared" si="27"/>
        <v>0</v>
      </c>
      <c r="J41">
        <f t="shared" si="27"/>
        <v>0</v>
      </c>
      <c r="K41" s="3">
        <f t="shared" si="27"/>
        <v>250</v>
      </c>
      <c r="L41">
        <f t="shared" si="27"/>
        <v>250</v>
      </c>
      <c r="M41" s="4">
        <f t="shared" si="27"/>
        <v>500</v>
      </c>
      <c r="N41">
        <f t="shared" si="27"/>
        <v>0</v>
      </c>
      <c r="O41">
        <f t="shared" si="27"/>
        <v>0</v>
      </c>
      <c r="P41">
        <f t="shared" si="27"/>
        <v>0</v>
      </c>
      <c r="Q41">
        <f t="shared" si="27"/>
        <v>250</v>
      </c>
      <c r="R41">
        <f t="shared" si="27"/>
        <v>250</v>
      </c>
      <c r="S41">
        <f t="shared" si="27"/>
        <v>500</v>
      </c>
      <c r="T41">
        <f t="shared" si="27"/>
        <v>0</v>
      </c>
      <c r="U41">
        <f t="shared" si="27"/>
        <v>0</v>
      </c>
      <c r="V41">
        <f t="shared" si="27"/>
        <v>0</v>
      </c>
      <c r="W41">
        <f t="shared" si="27"/>
        <v>0</v>
      </c>
      <c r="X41">
        <f t="shared" si="27"/>
        <v>250</v>
      </c>
      <c r="Y41">
        <f t="shared" si="27"/>
        <v>250</v>
      </c>
      <c r="Z41">
        <f t="shared" si="27"/>
        <v>500</v>
      </c>
      <c r="AA41">
        <f t="shared" si="27"/>
        <v>0</v>
      </c>
      <c r="AB41">
        <f t="shared" si="27"/>
        <v>0</v>
      </c>
      <c r="AC41">
        <f t="shared" si="27"/>
        <v>0</v>
      </c>
      <c r="AD41">
        <f t="shared" si="27"/>
        <v>0</v>
      </c>
      <c r="AE41">
        <f t="shared" si="27"/>
        <v>250</v>
      </c>
      <c r="AF41">
        <f t="shared" si="27"/>
        <v>250</v>
      </c>
      <c r="AG41">
        <f t="shared" ref="AG41" si="28">AF41+AG40-AF42</f>
        <v>500</v>
      </c>
      <c r="AH41">
        <f t="shared" ref="AH41" si="29">AG41+AH40-AG42</f>
        <v>0</v>
      </c>
      <c r="AI41">
        <f t="shared" ref="AI41" si="30">AH41+AI40-AH42</f>
        <v>0</v>
      </c>
      <c r="AJ41">
        <f t="shared" ref="AJ41" si="31">AI41+AJ40-AI42</f>
        <v>0</v>
      </c>
      <c r="AK41">
        <f t="shared" ref="AK41" si="32">AJ41+AK40-AJ42</f>
        <v>0</v>
      </c>
      <c r="AL41">
        <f t="shared" ref="AL41" si="33">AK41+AL40-AK42</f>
        <v>0</v>
      </c>
      <c r="AM41">
        <f t="shared" ref="AM41" si="34">AL41+AM40-AL42</f>
        <v>0</v>
      </c>
      <c r="AN41">
        <f t="shared" ref="AN41" si="35">AM41+AN40-AM42</f>
        <v>0</v>
      </c>
      <c r="AO41">
        <f t="shared" ref="AO41" si="36">AN41+AO40-AN42</f>
        <v>0</v>
      </c>
      <c r="AP41">
        <f t="shared" ref="AP41" si="37">AO41+AP40-AO42</f>
        <v>0</v>
      </c>
      <c r="AQ41">
        <f t="shared" ref="AQ41" si="38">AP41+AQ40-AP42</f>
        <v>0</v>
      </c>
      <c r="AR41">
        <f t="shared" ref="AR41" si="39">AQ41+AR40-AQ42</f>
        <v>0</v>
      </c>
      <c r="AS41">
        <f t="shared" ref="AS41" si="40">AR41+AS40-AR42</f>
        <v>0</v>
      </c>
    </row>
    <row r="42" spans="1:45" x14ac:dyDescent="0.35">
      <c r="A42">
        <v>42</v>
      </c>
      <c r="C42" t="s">
        <v>18</v>
      </c>
      <c r="F42">
        <v>0</v>
      </c>
      <c r="G42">
        <f t="shared" ref="G42:AS42" si="41">IF(AND(G41&gt;0,G41&gt;=$O$3),INT(G41/$O$3)*$O$3,0)</f>
        <v>0</v>
      </c>
      <c r="H42">
        <f t="shared" si="41"/>
        <v>0</v>
      </c>
      <c r="I42">
        <f t="shared" si="41"/>
        <v>0</v>
      </c>
      <c r="J42">
        <f t="shared" si="41"/>
        <v>0</v>
      </c>
      <c r="K42" s="3">
        <f t="shared" si="41"/>
        <v>0</v>
      </c>
      <c r="L42">
        <f t="shared" si="41"/>
        <v>0</v>
      </c>
      <c r="M42" s="4">
        <f t="shared" si="41"/>
        <v>500</v>
      </c>
      <c r="N42">
        <f t="shared" si="41"/>
        <v>0</v>
      </c>
      <c r="O42">
        <f t="shared" si="41"/>
        <v>0</v>
      </c>
      <c r="P42">
        <f t="shared" si="41"/>
        <v>0</v>
      </c>
      <c r="Q42">
        <f t="shared" si="41"/>
        <v>0</v>
      </c>
      <c r="R42">
        <f t="shared" si="41"/>
        <v>0</v>
      </c>
      <c r="S42">
        <f t="shared" si="41"/>
        <v>500</v>
      </c>
      <c r="T42">
        <f t="shared" si="41"/>
        <v>0</v>
      </c>
      <c r="U42">
        <f t="shared" si="41"/>
        <v>0</v>
      </c>
      <c r="V42">
        <f t="shared" si="41"/>
        <v>0</v>
      </c>
      <c r="W42">
        <f t="shared" si="41"/>
        <v>0</v>
      </c>
      <c r="X42">
        <f t="shared" si="41"/>
        <v>0</v>
      </c>
      <c r="Y42">
        <f t="shared" si="41"/>
        <v>0</v>
      </c>
      <c r="Z42">
        <f t="shared" si="41"/>
        <v>500</v>
      </c>
      <c r="AA42">
        <f t="shared" si="41"/>
        <v>0</v>
      </c>
      <c r="AB42">
        <f t="shared" si="41"/>
        <v>0</v>
      </c>
      <c r="AC42">
        <f t="shared" si="41"/>
        <v>0</v>
      </c>
      <c r="AD42">
        <f t="shared" si="41"/>
        <v>0</v>
      </c>
      <c r="AE42">
        <f t="shared" si="41"/>
        <v>0</v>
      </c>
      <c r="AF42">
        <f t="shared" si="41"/>
        <v>0</v>
      </c>
      <c r="AG42">
        <f t="shared" si="41"/>
        <v>500</v>
      </c>
      <c r="AH42">
        <f t="shared" si="41"/>
        <v>0</v>
      </c>
      <c r="AI42">
        <f t="shared" si="41"/>
        <v>0</v>
      </c>
      <c r="AJ42">
        <f t="shared" si="41"/>
        <v>0</v>
      </c>
      <c r="AK42">
        <f t="shared" si="41"/>
        <v>0</v>
      </c>
      <c r="AL42">
        <f t="shared" si="41"/>
        <v>0</v>
      </c>
      <c r="AM42">
        <f t="shared" si="41"/>
        <v>0</v>
      </c>
      <c r="AN42">
        <f t="shared" si="41"/>
        <v>0</v>
      </c>
      <c r="AO42">
        <f t="shared" si="41"/>
        <v>0</v>
      </c>
      <c r="AP42">
        <f t="shared" si="41"/>
        <v>0</v>
      </c>
      <c r="AQ42">
        <f t="shared" si="41"/>
        <v>0</v>
      </c>
      <c r="AR42">
        <f t="shared" si="41"/>
        <v>0</v>
      </c>
      <c r="AS42">
        <f t="shared" si="41"/>
        <v>0</v>
      </c>
    </row>
    <row r="43" spans="1:45" x14ac:dyDescent="0.35">
      <c r="A43">
        <v>43</v>
      </c>
      <c r="C43" s="17" t="s">
        <v>38</v>
      </c>
      <c r="D43" s="18">
        <f>SUM(G42:AS42)</f>
        <v>2000</v>
      </c>
    </row>
    <row r="44" spans="1:45" x14ac:dyDescent="0.35">
      <c r="A44">
        <v>44</v>
      </c>
    </row>
    <row r="45" spans="1:45" x14ac:dyDescent="0.35">
      <c r="A45">
        <v>45</v>
      </c>
    </row>
    <row r="46" spans="1:45" x14ac:dyDescent="0.35">
      <c r="A46">
        <v>46</v>
      </c>
      <c r="C46" t="s">
        <v>22</v>
      </c>
    </row>
    <row r="47" spans="1:45" x14ac:dyDescent="0.35">
      <c r="A47">
        <v>47</v>
      </c>
    </row>
    <row r="48" spans="1:45" x14ac:dyDescent="0.35">
      <c r="A48">
        <v>48</v>
      </c>
    </row>
    <row r="49" spans="1:45" x14ac:dyDescent="0.35">
      <c r="A49">
        <v>49</v>
      </c>
    </row>
    <row r="50" spans="1:45" x14ac:dyDescent="0.35">
      <c r="A50">
        <v>50</v>
      </c>
      <c r="C50" t="s">
        <v>23</v>
      </c>
      <c r="G50" s="1">
        <f t="shared" ref="G50:AS50" si="42">G39+$U$1</f>
        <v>46214</v>
      </c>
      <c r="H50" s="1">
        <f t="shared" si="42"/>
        <v>46215</v>
      </c>
      <c r="I50" s="1">
        <f t="shared" si="42"/>
        <v>46216</v>
      </c>
      <c r="J50" s="1">
        <f t="shared" si="42"/>
        <v>46217</v>
      </c>
      <c r="K50" s="1">
        <f t="shared" si="42"/>
        <v>46218</v>
      </c>
      <c r="L50" s="1">
        <f t="shared" si="42"/>
        <v>46219</v>
      </c>
      <c r="M50" s="1">
        <f t="shared" si="42"/>
        <v>46220</v>
      </c>
      <c r="N50" s="1">
        <f t="shared" si="42"/>
        <v>46221</v>
      </c>
      <c r="O50" s="1">
        <f t="shared" si="42"/>
        <v>46222</v>
      </c>
      <c r="P50" s="1">
        <f t="shared" si="42"/>
        <v>46223</v>
      </c>
      <c r="Q50" s="1">
        <f t="shared" si="42"/>
        <v>46224</v>
      </c>
      <c r="R50" s="1">
        <f t="shared" si="42"/>
        <v>46225</v>
      </c>
      <c r="S50" s="1">
        <f t="shared" si="42"/>
        <v>46226</v>
      </c>
      <c r="T50" s="1">
        <f t="shared" si="42"/>
        <v>46227</v>
      </c>
      <c r="U50" s="1">
        <f t="shared" si="42"/>
        <v>46228</v>
      </c>
      <c r="V50" s="1">
        <f t="shared" si="42"/>
        <v>46229</v>
      </c>
      <c r="W50" s="1">
        <f t="shared" si="42"/>
        <v>46230</v>
      </c>
      <c r="X50" s="1">
        <f t="shared" si="42"/>
        <v>46231</v>
      </c>
      <c r="Y50" s="1">
        <f t="shared" si="42"/>
        <v>46232</v>
      </c>
      <c r="Z50" s="1">
        <f t="shared" si="42"/>
        <v>46233</v>
      </c>
      <c r="AA50" s="1">
        <f t="shared" si="42"/>
        <v>46234</v>
      </c>
      <c r="AB50" s="1">
        <f t="shared" si="42"/>
        <v>46235</v>
      </c>
      <c r="AC50" s="1">
        <f t="shared" si="42"/>
        <v>46236</v>
      </c>
      <c r="AD50" s="1">
        <f t="shared" si="42"/>
        <v>46237</v>
      </c>
      <c r="AE50" s="1">
        <f t="shared" si="42"/>
        <v>46238</v>
      </c>
      <c r="AF50" s="1">
        <f t="shared" si="42"/>
        <v>46239</v>
      </c>
      <c r="AG50" s="1">
        <f t="shared" si="42"/>
        <v>46240</v>
      </c>
      <c r="AH50" s="1">
        <f t="shared" si="42"/>
        <v>46241</v>
      </c>
      <c r="AI50" s="1">
        <f t="shared" si="42"/>
        <v>46242</v>
      </c>
      <c r="AJ50" s="1">
        <f t="shared" si="42"/>
        <v>46243</v>
      </c>
      <c r="AK50" s="1">
        <f t="shared" si="42"/>
        <v>46244</v>
      </c>
      <c r="AL50" s="1">
        <f t="shared" si="42"/>
        <v>46245</v>
      </c>
      <c r="AM50" s="1">
        <f t="shared" si="42"/>
        <v>46246</v>
      </c>
      <c r="AN50" s="1">
        <f t="shared" si="42"/>
        <v>46247</v>
      </c>
      <c r="AO50" s="1">
        <f t="shared" si="42"/>
        <v>46248</v>
      </c>
      <c r="AP50" s="1">
        <f t="shared" si="42"/>
        <v>46249</v>
      </c>
      <c r="AQ50" s="1">
        <f t="shared" si="42"/>
        <v>46250</v>
      </c>
      <c r="AR50" s="1">
        <f t="shared" si="42"/>
        <v>46251</v>
      </c>
      <c r="AS50" s="1">
        <f t="shared" si="42"/>
        <v>46252</v>
      </c>
    </row>
    <row r="51" spans="1:45" x14ac:dyDescent="0.35">
      <c r="A51">
        <v>51</v>
      </c>
      <c r="C51" t="s">
        <v>21</v>
      </c>
      <c r="G51">
        <f>G42</f>
        <v>0</v>
      </c>
      <c r="H51">
        <f t="shared" ref="H51:AF51" si="43">H42</f>
        <v>0</v>
      </c>
      <c r="I51">
        <f t="shared" si="43"/>
        <v>0</v>
      </c>
      <c r="J51">
        <f t="shared" si="43"/>
        <v>0</v>
      </c>
      <c r="K51">
        <f t="shared" si="43"/>
        <v>0</v>
      </c>
      <c r="L51">
        <f t="shared" si="43"/>
        <v>0</v>
      </c>
      <c r="M51" s="4">
        <f t="shared" si="43"/>
        <v>500</v>
      </c>
      <c r="N51">
        <f t="shared" si="43"/>
        <v>0</v>
      </c>
      <c r="O51">
        <f t="shared" si="43"/>
        <v>0</v>
      </c>
      <c r="P51">
        <f t="shared" si="43"/>
        <v>0</v>
      </c>
      <c r="Q51">
        <f t="shared" si="43"/>
        <v>0</v>
      </c>
      <c r="R51">
        <f t="shared" si="43"/>
        <v>0</v>
      </c>
      <c r="S51">
        <f t="shared" si="43"/>
        <v>500</v>
      </c>
      <c r="T51">
        <f t="shared" si="43"/>
        <v>0</v>
      </c>
      <c r="U51">
        <f t="shared" si="43"/>
        <v>0</v>
      </c>
      <c r="V51">
        <f t="shared" si="43"/>
        <v>0</v>
      </c>
      <c r="W51">
        <f t="shared" si="43"/>
        <v>0</v>
      </c>
      <c r="X51">
        <f t="shared" si="43"/>
        <v>0</v>
      </c>
      <c r="Y51">
        <f t="shared" si="43"/>
        <v>0</v>
      </c>
      <c r="Z51">
        <f t="shared" si="43"/>
        <v>500</v>
      </c>
      <c r="AA51">
        <f t="shared" si="43"/>
        <v>0</v>
      </c>
      <c r="AB51">
        <f t="shared" si="43"/>
        <v>0</v>
      </c>
      <c r="AC51">
        <f t="shared" si="43"/>
        <v>0</v>
      </c>
      <c r="AD51">
        <f t="shared" si="43"/>
        <v>0</v>
      </c>
      <c r="AE51">
        <f t="shared" si="43"/>
        <v>0</v>
      </c>
      <c r="AF51">
        <f t="shared" si="43"/>
        <v>0</v>
      </c>
      <c r="AG51">
        <f t="shared" ref="AG51:AS51" si="44">AG42</f>
        <v>500</v>
      </c>
      <c r="AH51">
        <f t="shared" si="44"/>
        <v>0</v>
      </c>
      <c r="AI51">
        <f t="shared" si="44"/>
        <v>0</v>
      </c>
      <c r="AJ51">
        <f t="shared" si="44"/>
        <v>0</v>
      </c>
      <c r="AK51">
        <f t="shared" si="44"/>
        <v>0</v>
      </c>
      <c r="AL51">
        <f t="shared" si="44"/>
        <v>0</v>
      </c>
      <c r="AM51">
        <f t="shared" si="44"/>
        <v>0</v>
      </c>
      <c r="AN51">
        <f t="shared" si="44"/>
        <v>0</v>
      </c>
      <c r="AO51">
        <f t="shared" si="44"/>
        <v>0</v>
      </c>
      <c r="AP51">
        <f t="shared" si="44"/>
        <v>0</v>
      </c>
      <c r="AQ51">
        <f t="shared" si="44"/>
        <v>0</v>
      </c>
      <c r="AR51">
        <f t="shared" si="44"/>
        <v>0</v>
      </c>
      <c r="AS51">
        <f t="shared" si="44"/>
        <v>0</v>
      </c>
    </row>
    <row r="52" spans="1:45" x14ac:dyDescent="0.35">
      <c r="A52">
        <v>52</v>
      </c>
      <c r="C52" t="s">
        <v>17</v>
      </c>
      <c r="F52">
        <v>0</v>
      </c>
      <c r="G52">
        <f t="shared" ref="G52:AS52" si="45">F52+G51-SUMIF($56:$56,G50-1,$62:$62)</f>
        <v>0</v>
      </c>
      <c r="H52">
        <f t="shared" si="45"/>
        <v>0</v>
      </c>
      <c r="I52">
        <f t="shared" si="45"/>
        <v>0</v>
      </c>
      <c r="J52">
        <f t="shared" si="45"/>
        <v>0</v>
      </c>
      <c r="K52">
        <f t="shared" si="45"/>
        <v>0</v>
      </c>
      <c r="L52">
        <f t="shared" si="45"/>
        <v>0</v>
      </c>
      <c r="M52" s="4">
        <f t="shared" si="45"/>
        <v>500</v>
      </c>
      <c r="N52">
        <f t="shared" si="45"/>
        <v>350</v>
      </c>
      <c r="O52">
        <f t="shared" si="45"/>
        <v>350</v>
      </c>
      <c r="P52">
        <f t="shared" si="45"/>
        <v>350</v>
      </c>
      <c r="Q52">
        <f t="shared" si="45"/>
        <v>200</v>
      </c>
      <c r="R52">
        <f t="shared" si="45"/>
        <v>50</v>
      </c>
      <c r="S52">
        <f t="shared" si="45"/>
        <v>500</v>
      </c>
      <c r="T52">
        <f t="shared" si="45"/>
        <v>350</v>
      </c>
      <c r="U52">
        <f t="shared" si="45"/>
        <v>200</v>
      </c>
      <c r="V52">
        <f t="shared" si="45"/>
        <v>200</v>
      </c>
      <c r="W52">
        <f t="shared" si="45"/>
        <v>200</v>
      </c>
      <c r="X52">
        <f t="shared" si="45"/>
        <v>50</v>
      </c>
      <c r="Y52">
        <f t="shared" si="45"/>
        <v>0</v>
      </c>
      <c r="Z52">
        <f t="shared" si="45"/>
        <v>500</v>
      </c>
      <c r="AA52">
        <f t="shared" si="45"/>
        <v>350</v>
      </c>
      <c r="AB52">
        <f t="shared" si="45"/>
        <v>200</v>
      </c>
      <c r="AC52">
        <f t="shared" si="45"/>
        <v>200</v>
      </c>
      <c r="AD52">
        <f t="shared" si="45"/>
        <v>200</v>
      </c>
      <c r="AE52">
        <f t="shared" si="45"/>
        <v>50</v>
      </c>
      <c r="AF52">
        <f t="shared" si="45"/>
        <v>0</v>
      </c>
      <c r="AG52">
        <f t="shared" si="45"/>
        <v>500</v>
      </c>
      <c r="AH52">
        <f t="shared" si="45"/>
        <v>350</v>
      </c>
      <c r="AI52">
        <f t="shared" si="45"/>
        <v>200</v>
      </c>
      <c r="AJ52">
        <f t="shared" si="45"/>
        <v>200</v>
      </c>
      <c r="AK52">
        <f t="shared" si="45"/>
        <v>200</v>
      </c>
      <c r="AL52">
        <f t="shared" si="45"/>
        <v>50</v>
      </c>
      <c r="AM52">
        <f t="shared" si="45"/>
        <v>0</v>
      </c>
      <c r="AN52">
        <f t="shared" si="45"/>
        <v>0</v>
      </c>
      <c r="AO52">
        <f t="shared" si="45"/>
        <v>0</v>
      </c>
      <c r="AP52">
        <f t="shared" si="45"/>
        <v>0</v>
      </c>
      <c r="AQ52">
        <f t="shared" si="45"/>
        <v>0</v>
      </c>
      <c r="AR52">
        <f t="shared" si="45"/>
        <v>0</v>
      </c>
      <c r="AS52">
        <f t="shared" si="45"/>
        <v>0</v>
      </c>
    </row>
    <row r="53" spans="1:45" x14ac:dyDescent="0.35">
      <c r="A53">
        <v>53</v>
      </c>
      <c r="C53" t="s">
        <v>31</v>
      </c>
      <c r="F53">
        <v>0</v>
      </c>
      <c r="G53">
        <f>F53+G51</f>
        <v>0</v>
      </c>
      <c r="H53">
        <f t="shared" ref="H53:AF53" si="46">G53+H51</f>
        <v>0</v>
      </c>
      <c r="I53">
        <f t="shared" si="46"/>
        <v>0</v>
      </c>
      <c r="J53">
        <f t="shared" si="46"/>
        <v>0</v>
      </c>
      <c r="K53">
        <f t="shared" si="46"/>
        <v>0</v>
      </c>
      <c r="L53">
        <f t="shared" si="46"/>
        <v>0</v>
      </c>
      <c r="M53" s="4">
        <f t="shared" si="46"/>
        <v>500</v>
      </c>
      <c r="N53">
        <f t="shared" si="46"/>
        <v>500</v>
      </c>
      <c r="O53">
        <f t="shared" si="46"/>
        <v>500</v>
      </c>
      <c r="P53">
        <f t="shared" si="46"/>
        <v>500</v>
      </c>
      <c r="Q53">
        <f t="shared" si="46"/>
        <v>500</v>
      </c>
      <c r="R53">
        <f t="shared" si="46"/>
        <v>500</v>
      </c>
      <c r="S53">
        <f t="shared" si="46"/>
        <v>1000</v>
      </c>
      <c r="T53">
        <f t="shared" si="46"/>
        <v>1000</v>
      </c>
      <c r="U53">
        <f t="shared" si="46"/>
        <v>1000</v>
      </c>
      <c r="V53">
        <f t="shared" si="46"/>
        <v>1000</v>
      </c>
      <c r="W53">
        <f t="shared" si="46"/>
        <v>1000</v>
      </c>
      <c r="X53">
        <f t="shared" si="46"/>
        <v>1000</v>
      </c>
      <c r="Y53">
        <f t="shared" si="46"/>
        <v>1000</v>
      </c>
      <c r="Z53">
        <f t="shared" si="46"/>
        <v>1500</v>
      </c>
      <c r="AA53">
        <f t="shared" si="46"/>
        <v>1500</v>
      </c>
      <c r="AB53">
        <f t="shared" si="46"/>
        <v>1500</v>
      </c>
      <c r="AC53">
        <f t="shared" si="46"/>
        <v>1500</v>
      </c>
      <c r="AD53">
        <f t="shared" si="46"/>
        <v>1500</v>
      </c>
      <c r="AE53">
        <f t="shared" si="46"/>
        <v>1500</v>
      </c>
      <c r="AF53">
        <f t="shared" si="46"/>
        <v>1500</v>
      </c>
      <c r="AG53">
        <f t="shared" ref="AG53" si="47">AF53+AG51</f>
        <v>2000</v>
      </c>
      <c r="AH53">
        <f t="shared" ref="AH53" si="48">AG53+AH51</f>
        <v>2000</v>
      </c>
      <c r="AI53">
        <f t="shared" ref="AI53" si="49">AH53+AI51</f>
        <v>2000</v>
      </c>
      <c r="AJ53">
        <f t="shared" ref="AJ53" si="50">AI53+AJ51</f>
        <v>2000</v>
      </c>
      <c r="AK53">
        <f t="shared" ref="AK53" si="51">AJ53+AK51</f>
        <v>2000</v>
      </c>
      <c r="AL53">
        <f t="shared" ref="AL53" si="52">AK53+AL51</f>
        <v>2000</v>
      </c>
      <c r="AM53">
        <f t="shared" ref="AM53" si="53">AL53+AM51</f>
        <v>2000</v>
      </c>
      <c r="AN53">
        <f t="shared" ref="AN53" si="54">AM53+AN51</f>
        <v>2000</v>
      </c>
      <c r="AO53">
        <f t="shared" ref="AO53" si="55">AN53+AO51</f>
        <v>2000</v>
      </c>
      <c r="AP53">
        <f t="shared" ref="AP53" si="56">AO53+AP51</f>
        <v>2000</v>
      </c>
      <c r="AQ53">
        <f t="shared" ref="AQ53" si="57">AP53+AQ51</f>
        <v>2000</v>
      </c>
      <c r="AR53">
        <f t="shared" ref="AR53" si="58">AQ53+AR51</f>
        <v>2000</v>
      </c>
      <c r="AS53">
        <f t="shared" ref="AS53" si="59">AR53+AS51</f>
        <v>2000</v>
      </c>
    </row>
    <row r="54" spans="1:45" x14ac:dyDescent="0.35">
      <c r="A54">
        <v>54</v>
      </c>
    </row>
    <row r="55" spans="1:45" x14ac:dyDescent="0.35">
      <c r="A55">
        <v>55</v>
      </c>
      <c r="B55" t="s">
        <v>28</v>
      </c>
      <c r="G55">
        <v>0</v>
      </c>
      <c r="H55">
        <v>1</v>
      </c>
      <c r="I55">
        <v>2</v>
      </c>
      <c r="J55">
        <v>3</v>
      </c>
      <c r="K55">
        <v>4</v>
      </c>
      <c r="L55">
        <v>5</v>
      </c>
      <c r="M55">
        <v>6</v>
      </c>
      <c r="N55">
        <v>7</v>
      </c>
      <c r="O55">
        <v>8</v>
      </c>
      <c r="P55">
        <v>9</v>
      </c>
      <c r="Q55">
        <v>10</v>
      </c>
      <c r="R55">
        <v>11</v>
      </c>
      <c r="S55">
        <v>12</v>
      </c>
      <c r="T55">
        <v>13</v>
      </c>
      <c r="U55">
        <v>14</v>
      </c>
      <c r="V55">
        <v>15</v>
      </c>
      <c r="W55">
        <v>16</v>
      </c>
      <c r="X55">
        <v>17</v>
      </c>
      <c r="Y55">
        <v>18</v>
      </c>
      <c r="Z55">
        <v>19</v>
      </c>
      <c r="AA55">
        <v>20</v>
      </c>
      <c r="AB55">
        <v>21</v>
      </c>
      <c r="AC55">
        <v>22</v>
      </c>
      <c r="AD55">
        <v>23</v>
      </c>
      <c r="AE55">
        <v>24</v>
      </c>
      <c r="AF55">
        <v>25</v>
      </c>
      <c r="AG55">
        <v>26</v>
      </c>
      <c r="AH55">
        <v>27</v>
      </c>
      <c r="AI55">
        <v>28</v>
      </c>
      <c r="AJ55">
        <v>29</v>
      </c>
      <c r="AK55">
        <v>30</v>
      </c>
      <c r="AL55">
        <v>31</v>
      </c>
      <c r="AM55">
        <v>32</v>
      </c>
      <c r="AN55">
        <v>33</v>
      </c>
      <c r="AO55">
        <v>34</v>
      </c>
      <c r="AP55">
        <v>35</v>
      </c>
      <c r="AQ55">
        <v>36</v>
      </c>
      <c r="AR55">
        <v>37</v>
      </c>
      <c r="AS55">
        <v>38</v>
      </c>
    </row>
    <row r="56" spans="1:45" x14ac:dyDescent="0.35">
      <c r="A56">
        <v>56</v>
      </c>
      <c r="B56" t="s">
        <v>26</v>
      </c>
      <c r="G56" s="1">
        <f t="shared" ref="G56:AS56" si="60">$H$3+G55</f>
        <v>46209</v>
      </c>
      <c r="H56" s="1">
        <f t="shared" si="60"/>
        <v>46210</v>
      </c>
      <c r="I56" s="1">
        <f t="shared" si="60"/>
        <v>46211</v>
      </c>
      <c r="J56" s="1">
        <f t="shared" si="60"/>
        <v>46212</v>
      </c>
      <c r="K56" s="1">
        <f t="shared" si="60"/>
        <v>46213</v>
      </c>
      <c r="L56" s="1">
        <f t="shared" si="60"/>
        <v>46214</v>
      </c>
      <c r="M56" s="1">
        <f t="shared" si="60"/>
        <v>46215</v>
      </c>
      <c r="N56" s="1">
        <f t="shared" si="60"/>
        <v>46216</v>
      </c>
      <c r="O56" s="1">
        <f t="shared" si="60"/>
        <v>46217</v>
      </c>
      <c r="P56" s="1">
        <f t="shared" si="60"/>
        <v>46218</v>
      </c>
      <c r="Q56" s="1">
        <f t="shared" si="60"/>
        <v>46219</v>
      </c>
      <c r="R56" s="1">
        <f t="shared" si="60"/>
        <v>46220</v>
      </c>
      <c r="S56" s="1">
        <f t="shared" si="60"/>
        <v>46221</v>
      </c>
      <c r="T56" s="1">
        <f t="shared" si="60"/>
        <v>46222</v>
      </c>
      <c r="U56" s="1">
        <f t="shared" si="60"/>
        <v>46223</v>
      </c>
      <c r="V56" s="1">
        <f t="shared" si="60"/>
        <v>46224</v>
      </c>
      <c r="W56" s="1">
        <f t="shared" si="60"/>
        <v>46225</v>
      </c>
      <c r="X56" s="1">
        <f t="shared" si="60"/>
        <v>46226</v>
      </c>
      <c r="Y56" s="1">
        <f t="shared" si="60"/>
        <v>46227</v>
      </c>
      <c r="Z56" s="1">
        <f t="shared" si="60"/>
        <v>46228</v>
      </c>
      <c r="AA56" s="1">
        <f t="shared" si="60"/>
        <v>46229</v>
      </c>
      <c r="AB56" s="1">
        <f t="shared" si="60"/>
        <v>46230</v>
      </c>
      <c r="AC56" s="1">
        <f t="shared" si="60"/>
        <v>46231</v>
      </c>
      <c r="AD56" s="1">
        <f t="shared" si="60"/>
        <v>46232</v>
      </c>
      <c r="AE56" s="1">
        <f t="shared" si="60"/>
        <v>46233</v>
      </c>
      <c r="AF56" s="1">
        <f t="shared" si="60"/>
        <v>46234</v>
      </c>
      <c r="AG56" s="1">
        <f t="shared" si="60"/>
        <v>46235</v>
      </c>
      <c r="AH56" s="1">
        <f t="shared" si="60"/>
        <v>46236</v>
      </c>
      <c r="AI56" s="1">
        <f t="shared" si="60"/>
        <v>46237</v>
      </c>
      <c r="AJ56" s="1">
        <f t="shared" si="60"/>
        <v>46238</v>
      </c>
      <c r="AK56" s="1">
        <f t="shared" si="60"/>
        <v>46239</v>
      </c>
      <c r="AL56" s="1">
        <f t="shared" si="60"/>
        <v>46240</v>
      </c>
      <c r="AM56" s="1">
        <f t="shared" si="60"/>
        <v>46241</v>
      </c>
      <c r="AN56" s="1">
        <f t="shared" si="60"/>
        <v>46242</v>
      </c>
      <c r="AO56" s="1">
        <f t="shared" si="60"/>
        <v>46243</v>
      </c>
      <c r="AP56" s="1">
        <f t="shared" si="60"/>
        <v>46244</v>
      </c>
      <c r="AQ56" s="1">
        <f t="shared" si="60"/>
        <v>46245</v>
      </c>
      <c r="AR56" s="1">
        <f t="shared" si="60"/>
        <v>46246</v>
      </c>
      <c r="AS56" s="1">
        <f t="shared" si="60"/>
        <v>46247</v>
      </c>
    </row>
    <row r="57" spans="1:45" x14ac:dyDescent="0.35">
      <c r="A57">
        <v>57</v>
      </c>
      <c r="B57" t="s">
        <v>27</v>
      </c>
      <c r="G57">
        <f t="shared" ref="G57:AS57" si="61">G22</f>
        <v>100</v>
      </c>
      <c r="H57">
        <f t="shared" si="61"/>
        <v>100</v>
      </c>
      <c r="I57">
        <f t="shared" si="61"/>
        <v>100</v>
      </c>
      <c r="J57">
        <f t="shared" si="61"/>
        <v>100</v>
      </c>
      <c r="K57">
        <f t="shared" si="61"/>
        <v>100</v>
      </c>
      <c r="L57">
        <f t="shared" si="61"/>
        <v>0</v>
      </c>
      <c r="M57">
        <f t="shared" si="61"/>
        <v>100</v>
      </c>
      <c r="N57">
        <f t="shared" si="61"/>
        <v>100</v>
      </c>
      <c r="O57">
        <f t="shared" si="61"/>
        <v>100</v>
      </c>
      <c r="P57">
        <f t="shared" si="61"/>
        <v>100</v>
      </c>
      <c r="Q57">
        <f t="shared" si="61"/>
        <v>100</v>
      </c>
      <c r="R57">
        <f t="shared" si="61"/>
        <v>100</v>
      </c>
      <c r="S57">
        <f t="shared" si="61"/>
        <v>0</v>
      </c>
      <c r="T57">
        <f t="shared" si="61"/>
        <v>0</v>
      </c>
      <c r="U57">
        <f t="shared" si="61"/>
        <v>100</v>
      </c>
      <c r="V57">
        <f t="shared" si="61"/>
        <v>100</v>
      </c>
      <c r="W57">
        <f t="shared" si="61"/>
        <v>100</v>
      </c>
      <c r="X57">
        <f t="shared" si="61"/>
        <v>100</v>
      </c>
      <c r="Y57">
        <f t="shared" si="61"/>
        <v>100</v>
      </c>
      <c r="Z57">
        <f t="shared" si="61"/>
        <v>0</v>
      </c>
      <c r="AA57">
        <f t="shared" si="61"/>
        <v>0</v>
      </c>
      <c r="AB57">
        <f t="shared" si="61"/>
        <v>100</v>
      </c>
      <c r="AC57">
        <f t="shared" si="61"/>
        <v>100</v>
      </c>
      <c r="AD57">
        <f t="shared" si="61"/>
        <v>100</v>
      </c>
      <c r="AE57">
        <f t="shared" si="61"/>
        <v>100</v>
      </c>
      <c r="AF57">
        <f t="shared" si="61"/>
        <v>100</v>
      </c>
      <c r="AG57">
        <f t="shared" si="61"/>
        <v>0</v>
      </c>
      <c r="AH57">
        <f t="shared" si="61"/>
        <v>0</v>
      </c>
      <c r="AI57">
        <f t="shared" si="61"/>
        <v>0</v>
      </c>
      <c r="AJ57">
        <f t="shared" si="61"/>
        <v>0</v>
      </c>
      <c r="AK57">
        <f t="shared" si="61"/>
        <v>0</v>
      </c>
      <c r="AL57">
        <f t="shared" si="61"/>
        <v>0</v>
      </c>
      <c r="AM57">
        <f t="shared" si="61"/>
        <v>0</v>
      </c>
      <c r="AN57">
        <f t="shared" si="61"/>
        <v>0</v>
      </c>
      <c r="AO57">
        <f t="shared" si="61"/>
        <v>0</v>
      </c>
      <c r="AP57">
        <f t="shared" si="61"/>
        <v>0</v>
      </c>
      <c r="AQ57">
        <f t="shared" si="61"/>
        <v>0</v>
      </c>
      <c r="AR57">
        <f t="shared" si="61"/>
        <v>0</v>
      </c>
      <c r="AS57">
        <f t="shared" si="61"/>
        <v>0</v>
      </c>
    </row>
    <row r="58" spans="1:45" x14ac:dyDescent="0.35">
      <c r="A58">
        <v>58</v>
      </c>
      <c r="B58" t="s">
        <v>32</v>
      </c>
      <c r="F58">
        <v>0</v>
      </c>
      <c r="G58">
        <f t="shared" ref="G58:AF58" si="62">F58+G57</f>
        <v>100</v>
      </c>
      <c r="H58">
        <f t="shared" si="62"/>
        <v>200</v>
      </c>
      <c r="I58">
        <f t="shared" si="62"/>
        <v>300</v>
      </c>
      <c r="J58">
        <f t="shared" si="62"/>
        <v>400</v>
      </c>
      <c r="K58">
        <f t="shared" si="62"/>
        <v>500</v>
      </c>
      <c r="L58">
        <f t="shared" si="62"/>
        <v>500</v>
      </c>
      <c r="M58">
        <f t="shared" si="62"/>
        <v>600</v>
      </c>
      <c r="N58">
        <f t="shared" si="62"/>
        <v>700</v>
      </c>
      <c r="O58">
        <f t="shared" si="62"/>
        <v>800</v>
      </c>
      <c r="P58">
        <f t="shared" si="62"/>
        <v>900</v>
      </c>
      <c r="Q58">
        <f t="shared" si="62"/>
        <v>1000</v>
      </c>
      <c r="R58">
        <f t="shared" si="62"/>
        <v>1100</v>
      </c>
      <c r="S58">
        <f t="shared" si="62"/>
        <v>1100</v>
      </c>
      <c r="T58">
        <f t="shared" si="62"/>
        <v>1100</v>
      </c>
      <c r="U58">
        <f t="shared" si="62"/>
        <v>1200</v>
      </c>
      <c r="V58">
        <f t="shared" si="62"/>
        <v>1300</v>
      </c>
      <c r="W58">
        <f t="shared" si="62"/>
        <v>1400</v>
      </c>
      <c r="X58">
        <f t="shared" si="62"/>
        <v>1500</v>
      </c>
      <c r="Y58">
        <f t="shared" si="62"/>
        <v>1600</v>
      </c>
      <c r="Z58">
        <f t="shared" si="62"/>
        <v>1600</v>
      </c>
      <c r="AA58">
        <f t="shared" si="62"/>
        <v>1600</v>
      </c>
      <c r="AB58">
        <f t="shared" si="62"/>
        <v>1700</v>
      </c>
      <c r="AC58">
        <f t="shared" si="62"/>
        <v>1800</v>
      </c>
      <c r="AD58">
        <f t="shared" si="62"/>
        <v>1900</v>
      </c>
      <c r="AE58">
        <f t="shared" si="62"/>
        <v>2000</v>
      </c>
      <c r="AF58">
        <f t="shared" si="62"/>
        <v>2100</v>
      </c>
      <c r="AG58">
        <f t="shared" ref="AG58" si="63">AF58+AG57</f>
        <v>2100</v>
      </c>
      <c r="AH58">
        <f t="shared" ref="AH58" si="64">AG58+AH57</f>
        <v>2100</v>
      </c>
      <c r="AI58">
        <f t="shared" ref="AI58" si="65">AH58+AI57</f>
        <v>2100</v>
      </c>
      <c r="AJ58">
        <f t="shared" ref="AJ58" si="66">AI58+AJ57</f>
        <v>2100</v>
      </c>
      <c r="AK58">
        <f t="shared" ref="AK58" si="67">AJ58+AK57</f>
        <v>2100</v>
      </c>
      <c r="AL58">
        <f t="shared" ref="AL58" si="68">AK58+AL57</f>
        <v>2100</v>
      </c>
      <c r="AM58">
        <f t="shared" ref="AM58" si="69">AL58+AM57</f>
        <v>2100</v>
      </c>
      <c r="AN58">
        <f t="shared" ref="AN58" si="70">AM58+AN57</f>
        <v>2100</v>
      </c>
      <c r="AO58">
        <f t="shared" ref="AO58" si="71">AN58+AO57</f>
        <v>2100</v>
      </c>
      <c r="AP58">
        <f t="shared" ref="AP58" si="72">AO58+AP57</f>
        <v>2100</v>
      </c>
      <c r="AQ58">
        <f t="shared" ref="AQ58" si="73">AP58+AQ57</f>
        <v>2100</v>
      </c>
      <c r="AR58">
        <f t="shared" ref="AR58" si="74">AQ58+AR57</f>
        <v>2100</v>
      </c>
      <c r="AS58">
        <f t="shared" ref="AS58" si="75">AR58+AS57</f>
        <v>2100</v>
      </c>
    </row>
    <row r="59" spans="1:45" x14ac:dyDescent="0.35">
      <c r="A59">
        <v>59</v>
      </c>
      <c r="B59" t="s">
        <v>17</v>
      </c>
      <c r="G59">
        <f t="shared" ref="G59:AS59" si="76">SUMIF($50:$50,G56,$52:$52)</f>
        <v>0</v>
      </c>
      <c r="H59">
        <f t="shared" si="76"/>
        <v>0</v>
      </c>
      <c r="I59">
        <f t="shared" si="76"/>
        <v>0</v>
      </c>
      <c r="J59">
        <f t="shared" si="76"/>
        <v>0</v>
      </c>
      <c r="K59">
        <f t="shared" si="76"/>
        <v>0</v>
      </c>
      <c r="L59">
        <f t="shared" si="76"/>
        <v>0</v>
      </c>
      <c r="M59">
        <f t="shared" si="76"/>
        <v>0</v>
      </c>
      <c r="N59">
        <f t="shared" si="76"/>
        <v>0</v>
      </c>
      <c r="O59">
        <f t="shared" si="76"/>
        <v>0</v>
      </c>
      <c r="P59">
        <f t="shared" si="76"/>
        <v>0</v>
      </c>
      <c r="Q59">
        <f t="shared" si="76"/>
        <v>0</v>
      </c>
      <c r="R59" s="4">
        <f t="shared" si="76"/>
        <v>500</v>
      </c>
      <c r="S59">
        <f t="shared" si="76"/>
        <v>350</v>
      </c>
      <c r="T59">
        <f t="shared" si="76"/>
        <v>350</v>
      </c>
      <c r="U59">
        <f t="shared" si="76"/>
        <v>350</v>
      </c>
      <c r="V59">
        <f t="shared" si="76"/>
        <v>200</v>
      </c>
      <c r="W59">
        <f t="shared" si="76"/>
        <v>50</v>
      </c>
      <c r="X59">
        <f t="shared" si="76"/>
        <v>500</v>
      </c>
      <c r="Y59">
        <f t="shared" si="76"/>
        <v>350</v>
      </c>
      <c r="Z59">
        <f t="shared" si="76"/>
        <v>200</v>
      </c>
      <c r="AA59">
        <f t="shared" si="76"/>
        <v>200</v>
      </c>
      <c r="AB59">
        <f t="shared" si="76"/>
        <v>200</v>
      </c>
      <c r="AC59">
        <f t="shared" si="76"/>
        <v>50</v>
      </c>
      <c r="AD59">
        <f t="shared" si="76"/>
        <v>0</v>
      </c>
      <c r="AE59">
        <f t="shared" si="76"/>
        <v>500</v>
      </c>
      <c r="AF59">
        <f t="shared" si="76"/>
        <v>350</v>
      </c>
      <c r="AG59">
        <f t="shared" si="76"/>
        <v>200</v>
      </c>
      <c r="AH59">
        <f t="shared" si="76"/>
        <v>200</v>
      </c>
      <c r="AI59">
        <f t="shared" si="76"/>
        <v>200</v>
      </c>
      <c r="AJ59">
        <f t="shared" si="76"/>
        <v>50</v>
      </c>
      <c r="AK59">
        <f t="shared" si="76"/>
        <v>0</v>
      </c>
      <c r="AL59">
        <f t="shared" si="76"/>
        <v>500</v>
      </c>
      <c r="AM59">
        <f t="shared" si="76"/>
        <v>350</v>
      </c>
      <c r="AN59">
        <f t="shared" si="76"/>
        <v>200</v>
      </c>
      <c r="AO59">
        <f t="shared" si="76"/>
        <v>200</v>
      </c>
      <c r="AP59">
        <f t="shared" si="76"/>
        <v>200</v>
      </c>
      <c r="AQ59">
        <f t="shared" si="76"/>
        <v>50</v>
      </c>
      <c r="AR59">
        <f t="shared" si="76"/>
        <v>0</v>
      </c>
      <c r="AS59">
        <f t="shared" si="76"/>
        <v>0</v>
      </c>
    </row>
    <row r="60" spans="1:45" x14ac:dyDescent="0.35">
      <c r="A60">
        <v>60</v>
      </c>
      <c r="B60" t="s">
        <v>33</v>
      </c>
      <c r="F60">
        <v>0</v>
      </c>
      <c r="G60">
        <f t="shared" ref="G60:AF60" si="77">F60+G57-F62</f>
        <v>100</v>
      </c>
      <c r="H60">
        <f t="shared" si="77"/>
        <v>200</v>
      </c>
      <c r="I60">
        <f t="shared" si="77"/>
        <v>300</v>
      </c>
      <c r="J60">
        <f t="shared" si="77"/>
        <v>400</v>
      </c>
      <c r="K60">
        <f t="shared" si="77"/>
        <v>500</v>
      </c>
      <c r="L60">
        <f t="shared" si="77"/>
        <v>500</v>
      </c>
      <c r="M60">
        <f t="shared" si="77"/>
        <v>600</v>
      </c>
      <c r="N60">
        <f t="shared" si="77"/>
        <v>700</v>
      </c>
      <c r="O60">
        <f t="shared" si="77"/>
        <v>800</v>
      </c>
      <c r="P60">
        <f t="shared" si="77"/>
        <v>900</v>
      </c>
      <c r="Q60">
        <f t="shared" si="77"/>
        <v>1000</v>
      </c>
      <c r="R60">
        <f t="shared" si="77"/>
        <v>1100</v>
      </c>
      <c r="S60">
        <f t="shared" si="77"/>
        <v>950</v>
      </c>
      <c r="T60">
        <f t="shared" si="77"/>
        <v>950</v>
      </c>
      <c r="U60">
        <f t="shared" si="77"/>
        <v>1050</v>
      </c>
      <c r="V60">
        <f t="shared" si="77"/>
        <v>1000</v>
      </c>
      <c r="W60">
        <f t="shared" si="77"/>
        <v>950</v>
      </c>
      <c r="X60">
        <f t="shared" si="77"/>
        <v>1000</v>
      </c>
      <c r="Y60">
        <f t="shared" si="77"/>
        <v>950</v>
      </c>
      <c r="Z60">
        <f t="shared" si="77"/>
        <v>800</v>
      </c>
      <c r="AA60">
        <f t="shared" si="77"/>
        <v>800</v>
      </c>
      <c r="AB60">
        <f t="shared" si="77"/>
        <v>900</v>
      </c>
      <c r="AC60">
        <f t="shared" si="77"/>
        <v>850</v>
      </c>
      <c r="AD60">
        <f t="shared" si="77"/>
        <v>900</v>
      </c>
      <c r="AE60">
        <f t="shared" si="77"/>
        <v>1000</v>
      </c>
      <c r="AF60">
        <f t="shared" si="77"/>
        <v>950</v>
      </c>
      <c r="AG60">
        <f t="shared" ref="AG60" si="78">AF60+AG57-AF62</f>
        <v>800</v>
      </c>
      <c r="AH60">
        <f t="shared" ref="AH60" si="79">AG60+AH57-AG62</f>
        <v>800</v>
      </c>
      <c r="AI60">
        <f t="shared" ref="AI60" si="80">AH60+AI57-AH62</f>
        <v>800</v>
      </c>
      <c r="AJ60">
        <f t="shared" ref="AJ60" si="81">AI60+AJ57-AI62</f>
        <v>650</v>
      </c>
      <c r="AK60">
        <f t="shared" ref="AK60" si="82">AJ60+AK57-AJ62</f>
        <v>600</v>
      </c>
      <c r="AL60">
        <f t="shared" ref="AL60" si="83">AK60+AL57-AK62</f>
        <v>600</v>
      </c>
      <c r="AM60">
        <f t="shared" ref="AM60" si="84">AL60+AM57-AL62</f>
        <v>450</v>
      </c>
      <c r="AN60">
        <f t="shared" ref="AN60" si="85">AM60+AN57-AM62</f>
        <v>300</v>
      </c>
      <c r="AO60">
        <f t="shared" ref="AO60" si="86">AN60+AO57-AN62</f>
        <v>300</v>
      </c>
      <c r="AP60">
        <f t="shared" ref="AP60" si="87">AO60+AP57-AO62</f>
        <v>300</v>
      </c>
      <c r="AQ60">
        <f t="shared" ref="AQ60" si="88">AP60+AQ57-AP62</f>
        <v>150</v>
      </c>
      <c r="AR60">
        <f t="shared" ref="AR60" si="89">AQ60+AR57-AQ62</f>
        <v>100</v>
      </c>
      <c r="AS60">
        <f t="shared" ref="AS60" si="90">AR60+AS57-AR62</f>
        <v>100</v>
      </c>
    </row>
    <row r="61" spans="1:45" x14ac:dyDescent="0.35">
      <c r="A61">
        <v>61</v>
      </c>
      <c r="B61" t="s">
        <v>30</v>
      </c>
      <c r="G61">
        <f t="shared" ref="G61:AF61" si="91">INT(HLOOKUP(WEEKDAY(G56,2),$D$6:$J$7,2)*$H$4)</f>
        <v>150</v>
      </c>
      <c r="H61">
        <f t="shared" si="91"/>
        <v>150</v>
      </c>
      <c r="I61">
        <f t="shared" si="91"/>
        <v>150</v>
      </c>
      <c r="J61">
        <f t="shared" si="91"/>
        <v>150</v>
      </c>
      <c r="K61">
        <f t="shared" si="91"/>
        <v>150</v>
      </c>
      <c r="L61">
        <f t="shared" si="91"/>
        <v>0</v>
      </c>
      <c r="M61">
        <f t="shared" si="91"/>
        <v>0</v>
      </c>
      <c r="N61">
        <f t="shared" si="91"/>
        <v>150</v>
      </c>
      <c r="O61">
        <f t="shared" si="91"/>
        <v>150</v>
      </c>
      <c r="P61">
        <f t="shared" si="91"/>
        <v>150</v>
      </c>
      <c r="Q61">
        <f t="shared" si="91"/>
        <v>150</v>
      </c>
      <c r="R61">
        <f t="shared" si="91"/>
        <v>150</v>
      </c>
      <c r="S61">
        <f t="shared" si="91"/>
        <v>0</v>
      </c>
      <c r="T61">
        <f t="shared" si="91"/>
        <v>0</v>
      </c>
      <c r="U61">
        <f t="shared" si="91"/>
        <v>150</v>
      </c>
      <c r="V61">
        <f t="shared" si="91"/>
        <v>150</v>
      </c>
      <c r="W61">
        <f t="shared" si="91"/>
        <v>150</v>
      </c>
      <c r="X61">
        <f t="shared" si="91"/>
        <v>150</v>
      </c>
      <c r="Y61">
        <f t="shared" si="91"/>
        <v>150</v>
      </c>
      <c r="Z61">
        <f t="shared" si="91"/>
        <v>0</v>
      </c>
      <c r="AA61">
        <f t="shared" si="91"/>
        <v>0</v>
      </c>
      <c r="AB61">
        <f t="shared" si="91"/>
        <v>150</v>
      </c>
      <c r="AC61">
        <f t="shared" si="91"/>
        <v>150</v>
      </c>
      <c r="AD61">
        <f t="shared" si="91"/>
        <v>150</v>
      </c>
      <c r="AE61">
        <f t="shared" si="91"/>
        <v>150</v>
      </c>
      <c r="AF61">
        <f t="shared" si="91"/>
        <v>150</v>
      </c>
      <c r="AG61">
        <f t="shared" ref="AG61:AS61" si="92">INT(HLOOKUP(WEEKDAY(AG56,2),$D$6:$J$7,2)*$H$4)</f>
        <v>0</v>
      </c>
      <c r="AH61">
        <f t="shared" si="92"/>
        <v>0</v>
      </c>
      <c r="AI61">
        <f t="shared" si="92"/>
        <v>150</v>
      </c>
      <c r="AJ61">
        <f t="shared" si="92"/>
        <v>150</v>
      </c>
      <c r="AK61">
        <f t="shared" si="92"/>
        <v>150</v>
      </c>
      <c r="AL61">
        <f t="shared" si="92"/>
        <v>150</v>
      </c>
      <c r="AM61">
        <f t="shared" si="92"/>
        <v>150</v>
      </c>
      <c r="AN61">
        <f t="shared" si="92"/>
        <v>0</v>
      </c>
      <c r="AO61">
        <f t="shared" si="92"/>
        <v>0</v>
      </c>
      <c r="AP61">
        <f t="shared" si="92"/>
        <v>150</v>
      </c>
      <c r="AQ61">
        <f t="shared" si="92"/>
        <v>150</v>
      </c>
      <c r="AR61">
        <f t="shared" si="92"/>
        <v>150</v>
      </c>
      <c r="AS61">
        <f t="shared" si="92"/>
        <v>150</v>
      </c>
    </row>
    <row r="62" spans="1:45" x14ac:dyDescent="0.35">
      <c r="A62">
        <v>62</v>
      </c>
      <c r="B62" t="s">
        <v>29</v>
      </c>
      <c r="F62">
        <v>0</v>
      </c>
      <c r="G62">
        <f>MIN(G61,MIN(G60,G59))</f>
        <v>0</v>
      </c>
      <c r="H62">
        <f t="shared" ref="H62:AF62" si="93">MIN(H61,MIN(H60,H59))</f>
        <v>0</v>
      </c>
      <c r="I62">
        <f t="shared" si="93"/>
        <v>0</v>
      </c>
      <c r="J62">
        <f t="shared" si="93"/>
        <v>0</v>
      </c>
      <c r="K62">
        <f t="shared" si="93"/>
        <v>0</v>
      </c>
      <c r="L62">
        <f t="shared" si="93"/>
        <v>0</v>
      </c>
      <c r="M62">
        <f t="shared" si="93"/>
        <v>0</v>
      </c>
      <c r="N62">
        <f t="shared" si="93"/>
        <v>0</v>
      </c>
      <c r="O62">
        <f t="shared" si="93"/>
        <v>0</v>
      </c>
      <c r="P62">
        <f t="shared" si="93"/>
        <v>0</v>
      </c>
      <c r="Q62">
        <f t="shared" si="93"/>
        <v>0</v>
      </c>
      <c r="R62" s="3">
        <f t="shared" si="93"/>
        <v>150</v>
      </c>
      <c r="S62">
        <f t="shared" si="93"/>
        <v>0</v>
      </c>
      <c r="T62">
        <f t="shared" si="93"/>
        <v>0</v>
      </c>
      <c r="U62" s="3">
        <f t="shared" si="93"/>
        <v>150</v>
      </c>
      <c r="V62" s="3">
        <f t="shared" si="93"/>
        <v>150</v>
      </c>
      <c r="W62" s="3">
        <f t="shared" si="93"/>
        <v>50</v>
      </c>
      <c r="X62">
        <f t="shared" si="93"/>
        <v>150</v>
      </c>
      <c r="Y62">
        <f t="shared" si="93"/>
        <v>150</v>
      </c>
      <c r="Z62">
        <f t="shared" si="93"/>
        <v>0</v>
      </c>
      <c r="AA62">
        <f t="shared" si="93"/>
        <v>0</v>
      </c>
      <c r="AB62">
        <f t="shared" si="93"/>
        <v>150</v>
      </c>
      <c r="AC62">
        <f t="shared" si="93"/>
        <v>50</v>
      </c>
      <c r="AD62">
        <f t="shared" si="93"/>
        <v>0</v>
      </c>
      <c r="AE62">
        <f t="shared" si="93"/>
        <v>150</v>
      </c>
      <c r="AF62">
        <f t="shared" si="93"/>
        <v>150</v>
      </c>
      <c r="AG62">
        <f t="shared" ref="AG62:AS62" si="94">MIN(AG61,MIN(AG60,AG59))</f>
        <v>0</v>
      </c>
      <c r="AH62">
        <f t="shared" si="94"/>
        <v>0</v>
      </c>
      <c r="AI62">
        <f t="shared" si="94"/>
        <v>150</v>
      </c>
      <c r="AJ62">
        <f t="shared" si="94"/>
        <v>50</v>
      </c>
      <c r="AK62">
        <f t="shared" si="94"/>
        <v>0</v>
      </c>
      <c r="AL62">
        <f t="shared" si="94"/>
        <v>150</v>
      </c>
      <c r="AM62">
        <f t="shared" si="94"/>
        <v>150</v>
      </c>
      <c r="AN62">
        <f t="shared" si="94"/>
        <v>0</v>
      </c>
      <c r="AO62">
        <f t="shared" si="94"/>
        <v>0</v>
      </c>
      <c r="AP62">
        <f t="shared" si="94"/>
        <v>150</v>
      </c>
      <c r="AQ62">
        <f t="shared" si="94"/>
        <v>50</v>
      </c>
      <c r="AR62">
        <f t="shared" si="94"/>
        <v>0</v>
      </c>
      <c r="AS62">
        <f t="shared" si="94"/>
        <v>0</v>
      </c>
    </row>
    <row r="63" spans="1:45" x14ac:dyDescent="0.35">
      <c r="A63">
        <v>63</v>
      </c>
    </row>
    <row r="64" spans="1:45" x14ac:dyDescent="0.35">
      <c r="A64">
        <v>64</v>
      </c>
      <c r="B64" s="16" t="s">
        <v>37</v>
      </c>
    </row>
    <row r="65" spans="1:45" x14ac:dyDescent="0.35">
      <c r="A65">
        <v>65</v>
      </c>
      <c r="B65" t="s">
        <v>13</v>
      </c>
      <c r="C65" s="1">
        <f>G56</f>
        <v>46209</v>
      </c>
      <c r="D65" s="1">
        <f t="shared" ref="D65:AO65" si="95">H56</f>
        <v>46210</v>
      </c>
      <c r="E65" s="1">
        <f t="shared" si="95"/>
        <v>46211</v>
      </c>
      <c r="F65" s="1">
        <f t="shared" si="95"/>
        <v>46212</v>
      </c>
      <c r="G65" s="1">
        <f t="shared" si="95"/>
        <v>46213</v>
      </c>
      <c r="H65" s="1">
        <f t="shared" si="95"/>
        <v>46214</v>
      </c>
      <c r="I65" s="1">
        <f t="shared" si="95"/>
        <v>46215</v>
      </c>
      <c r="J65" s="1">
        <f t="shared" si="95"/>
        <v>46216</v>
      </c>
      <c r="K65" s="1">
        <f t="shared" si="95"/>
        <v>46217</v>
      </c>
      <c r="L65" s="1">
        <f t="shared" si="95"/>
        <v>46218</v>
      </c>
      <c r="M65" s="1">
        <f t="shared" si="95"/>
        <v>46219</v>
      </c>
      <c r="N65" s="1">
        <f t="shared" si="95"/>
        <v>46220</v>
      </c>
      <c r="O65" s="1">
        <f t="shared" si="95"/>
        <v>46221</v>
      </c>
      <c r="P65" s="1">
        <f t="shared" si="95"/>
        <v>46222</v>
      </c>
      <c r="Q65" s="1">
        <f t="shared" si="95"/>
        <v>46223</v>
      </c>
      <c r="R65" s="1">
        <f t="shared" si="95"/>
        <v>46224</v>
      </c>
      <c r="S65" s="1">
        <f t="shared" si="95"/>
        <v>46225</v>
      </c>
      <c r="T65" s="1">
        <f t="shared" si="95"/>
        <v>46226</v>
      </c>
      <c r="U65" s="1">
        <f t="shared" si="95"/>
        <v>46227</v>
      </c>
      <c r="V65" s="1">
        <f t="shared" si="95"/>
        <v>46228</v>
      </c>
      <c r="W65" s="1">
        <f t="shared" si="95"/>
        <v>46229</v>
      </c>
      <c r="X65" s="1">
        <f t="shared" si="95"/>
        <v>46230</v>
      </c>
      <c r="Y65" s="1">
        <f t="shared" si="95"/>
        <v>46231</v>
      </c>
      <c r="Z65" s="1">
        <f t="shared" si="95"/>
        <v>46232</v>
      </c>
      <c r="AA65" s="1">
        <f t="shared" si="95"/>
        <v>46233</v>
      </c>
      <c r="AB65" s="1">
        <f t="shared" si="95"/>
        <v>46234</v>
      </c>
      <c r="AC65" s="1">
        <f t="shared" si="95"/>
        <v>46235</v>
      </c>
      <c r="AD65" s="1">
        <f t="shared" si="95"/>
        <v>46236</v>
      </c>
      <c r="AE65" s="1">
        <f t="shared" si="95"/>
        <v>46237</v>
      </c>
      <c r="AF65" s="1">
        <f t="shared" si="95"/>
        <v>46238</v>
      </c>
      <c r="AG65" s="1">
        <f t="shared" si="95"/>
        <v>46239</v>
      </c>
      <c r="AH65" s="1">
        <f t="shared" si="95"/>
        <v>46240</v>
      </c>
      <c r="AI65" s="1">
        <f t="shared" si="95"/>
        <v>46241</v>
      </c>
      <c r="AJ65" s="1">
        <f t="shared" si="95"/>
        <v>46242</v>
      </c>
      <c r="AK65" s="1">
        <f t="shared" si="95"/>
        <v>46243</v>
      </c>
      <c r="AL65" s="1">
        <f t="shared" si="95"/>
        <v>46244</v>
      </c>
      <c r="AM65" s="1">
        <f t="shared" si="95"/>
        <v>46245</v>
      </c>
      <c r="AN65" s="1">
        <f t="shared" si="95"/>
        <v>46246</v>
      </c>
      <c r="AO65" s="1">
        <f t="shared" si="95"/>
        <v>46247</v>
      </c>
      <c r="AP65" s="1"/>
      <c r="AQ65" s="1"/>
      <c r="AR65" s="1"/>
      <c r="AS65" s="1"/>
    </row>
    <row r="66" spans="1:45" x14ac:dyDescent="0.35">
      <c r="A66">
        <v>66</v>
      </c>
      <c r="B66" t="s">
        <v>35</v>
      </c>
      <c r="C66">
        <f t="shared" ref="C66:G66" si="96">B53</f>
        <v>0</v>
      </c>
      <c r="D66">
        <v>0</v>
      </c>
      <c r="E66">
        <f t="shared" si="96"/>
        <v>0</v>
      </c>
      <c r="F66">
        <f t="shared" si="96"/>
        <v>0</v>
      </c>
      <c r="G66">
        <f t="shared" si="96"/>
        <v>0</v>
      </c>
      <c r="H66">
        <f>G53</f>
        <v>0</v>
      </c>
      <c r="I66">
        <f t="shared" ref="I66:AO66" si="97">H53</f>
        <v>0</v>
      </c>
      <c r="J66">
        <f t="shared" si="97"/>
        <v>0</v>
      </c>
      <c r="K66">
        <f t="shared" si="97"/>
        <v>0</v>
      </c>
      <c r="L66">
        <f t="shared" si="97"/>
        <v>0</v>
      </c>
      <c r="M66">
        <f t="shared" si="97"/>
        <v>0</v>
      </c>
      <c r="N66" s="4">
        <f t="shared" si="97"/>
        <v>500</v>
      </c>
      <c r="O66">
        <f t="shared" si="97"/>
        <v>500</v>
      </c>
      <c r="P66">
        <f t="shared" si="97"/>
        <v>500</v>
      </c>
      <c r="Q66">
        <f t="shared" si="97"/>
        <v>500</v>
      </c>
      <c r="R66">
        <f t="shared" si="97"/>
        <v>500</v>
      </c>
      <c r="S66">
        <f t="shared" si="97"/>
        <v>500</v>
      </c>
      <c r="T66">
        <f t="shared" si="97"/>
        <v>1000</v>
      </c>
      <c r="U66">
        <f t="shared" si="97"/>
        <v>1000</v>
      </c>
      <c r="V66">
        <f t="shared" si="97"/>
        <v>1000</v>
      </c>
      <c r="W66">
        <f t="shared" si="97"/>
        <v>1000</v>
      </c>
      <c r="X66">
        <f t="shared" si="97"/>
        <v>1000</v>
      </c>
      <c r="Y66">
        <f t="shared" si="97"/>
        <v>1000</v>
      </c>
      <c r="Z66">
        <f t="shared" si="97"/>
        <v>1000</v>
      </c>
      <c r="AA66">
        <f t="shared" si="97"/>
        <v>1500</v>
      </c>
      <c r="AB66">
        <f t="shared" si="97"/>
        <v>1500</v>
      </c>
      <c r="AC66">
        <f t="shared" si="97"/>
        <v>1500</v>
      </c>
      <c r="AD66">
        <f t="shared" si="97"/>
        <v>1500</v>
      </c>
      <c r="AE66">
        <f t="shared" si="97"/>
        <v>1500</v>
      </c>
      <c r="AF66">
        <f t="shared" si="97"/>
        <v>1500</v>
      </c>
      <c r="AG66">
        <f t="shared" si="97"/>
        <v>1500</v>
      </c>
      <c r="AH66">
        <f t="shared" si="97"/>
        <v>2000</v>
      </c>
      <c r="AI66">
        <f t="shared" si="97"/>
        <v>2000</v>
      </c>
      <c r="AJ66">
        <f t="shared" si="97"/>
        <v>2000</v>
      </c>
      <c r="AK66">
        <f t="shared" si="97"/>
        <v>2000</v>
      </c>
      <c r="AL66">
        <f t="shared" si="97"/>
        <v>2000</v>
      </c>
      <c r="AM66">
        <f t="shared" si="97"/>
        <v>2000</v>
      </c>
      <c r="AN66">
        <f t="shared" si="97"/>
        <v>2000</v>
      </c>
      <c r="AO66">
        <f t="shared" si="97"/>
        <v>2000</v>
      </c>
    </row>
    <row r="67" spans="1:45" x14ac:dyDescent="0.35">
      <c r="A67">
        <v>67</v>
      </c>
      <c r="B67" t="s">
        <v>36</v>
      </c>
      <c r="C67">
        <f>G58</f>
        <v>100</v>
      </c>
      <c r="D67">
        <f t="shared" ref="D67:AO67" si="98">H58</f>
        <v>200</v>
      </c>
      <c r="E67">
        <f t="shared" si="98"/>
        <v>300</v>
      </c>
      <c r="F67">
        <f t="shared" si="98"/>
        <v>400</v>
      </c>
      <c r="G67">
        <f t="shared" si="98"/>
        <v>500</v>
      </c>
      <c r="H67">
        <f t="shared" si="98"/>
        <v>500</v>
      </c>
      <c r="I67">
        <f t="shared" si="98"/>
        <v>600</v>
      </c>
      <c r="J67">
        <f t="shared" si="98"/>
        <v>700</v>
      </c>
      <c r="K67">
        <f t="shared" si="98"/>
        <v>800</v>
      </c>
      <c r="L67">
        <f t="shared" si="98"/>
        <v>900</v>
      </c>
      <c r="M67">
        <f t="shared" si="98"/>
        <v>1000</v>
      </c>
      <c r="N67">
        <f t="shared" si="98"/>
        <v>1100</v>
      </c>
      <c r="O67">
        <f t="shared" si="98"/>
        <v>1100</v>
      </c>
      <c r="P67">
        <f t="shared" si="98"/>
        <v>1100</v>
      </c>
      <c r="Q67">
        <f t="shared" si="98"/>
        <v>1200</v>
      </c>
      <c r="R67">
        <f t="shared" si="98"/>
        <v>1300</v>
      </c>
      <c r="S67">
        <f t="shared" si="98"/>
        <v>1400</v>
      </c>
      <c r="T67">
        <f t="shared" si="98"/>
        <v>1500</v>
      </c>
      <c r="U67">
        <f t="shared" si="98"/>
        <v>1600</v>
      </c>
      <c r="V67">
        <f t="shared" si="98"/>
        <v>1600</v>
      </c>
      <c r="W67">
        <f t="shared" si="98"/>
        <v>1600</v>
      </c>
      <c r="X67">
        <f t="shared" si="98"/>
        <v>1700</v>
      </c>
      <c r="Y67">
        <f t="shared" si="98"/>
        <v>1800</v>
      </c>
      <c r="Z67">
        <f t="shared" si="98"/>
        <v>1900</v>
      </c>
      <c r="AA67">
        <f t="shared" si="98"/>
        <v>2000</v>
      </c>
      <c r="AB67">
        <f t="shared" si="98"/>
        <v>2100</v>
      </c>
      <c r="AC67">
        <f t="shared" si="98"/>
        <v>2100</v>
      </c>
      <c r="AD67">
        <f t="shared" si="98"/>
        <v>2100</v>
      </c>
      <c r="AE67">
        <f t="shared" si="98"/>
        <v>2100</v>
      </c>
      <c r="AF67">
        <f t="shared" si="98"/>
        <v>2100</v>
      </c>
      <c r="AG67">
        <f t="shared" si="98"/>
        <v>2100</v>
      </c>
      <c r="AH67">
        <f t="shared" si="98"/>
        <v>2100</v>
      </c>
      <c r="AI67">
        <f t="shared" si="98"/>
        <v>2100</v>
      </c>
      <c r="AJ67">
        <f t="shared" si="98"/>
        <v>2100</v>
      </c>
      <c r="AK67">
        <f t="shared" si="98"/>
        <v>2100</v>
      </c>
      <c r="AL67">
        <f t="shared" si="98"/>
        <v>2100</v>
      </c>
      <c r="AM67">
        <f t="shared" si="98"/>
        <v>2100</v>
      </c>
      <c r="AN67">
        <f t="shared" si="98"/>
        <v>2100</v>
      </c>
      <c r="AO67">
        <f t="shared" si="98"/>
        <v>2100</v>
      </c>
    </row>
    <row r="68" spans="1:45" x14ac:dyDescent="0.35">
      <c r="A68">
        <v>68</v>
      </c>
      <c r="B68" t="s">
        <v>33</v>
      </c>
      <c r="C68">
        <f>G60</f>
        <v>100</v>
      </c>
      <c r="D68">
        <f t="shared" ref="D68:AO68" si="99">H60</f>
        <v>200</v>
      </c>
      <c r="E68">
        <f t="shared" si="99"/>
        <v>300</v>
      </c>
      <c r="F68">
        <f t="shared" si="99"/>
        <v>400</v>
      </c>
      <c r="G68">
        <f t="shared" si="99"/>
        <v>500</v>
      </c>
      <c r="H68">
        <f t="shared" si="99"/>
        <v>500</v>
      </c>
      <c r="I68">
        <f t="shared" si="99"/>
        <v>600</v>
      </c>
      <c r="J68">
        <f t="shared" si="99"/>
        <v>700</v>
      </c>
      <c r="K68">
        <f t="shared" si="99"/>
        <v>800</v>
      </c>
      <c r="L68">
        <f t="shared" si="99"/>
        <v>900</v>
      </c>
      <c r="M68">
        <f t="shared" si="99"/>
        <v>1000</v>
      </c>
      <c r="N68">
        <f t="shared" si="99"/>
        <v>1100</v>
      </c>
      <c r="O68">
        <f t="shared" si="99"/>
        <v>950</v>
      </c>
      <c r="P68">
        <f t="shared" si="99"/>
        <v>950</v>
      </c>
      <c r="Q68">
        <f t="shared" si="99"/>
        <v>1050</v>
      </c>
      <c r="R68">
        <f t="shared" si="99"/>
        <v>1000</v>
      </c>
      <c r="S68">
        <f t="shared" si="99"/>
        <v>950</v>
      </c>
      <c r="T68">
        <f t="shared" si="99"/>
        <v>1000</v>
      </c>
      <c r="U68">
        <f t="shared" si="99"/>
        <v>950</v>
      </c>
      <c r="V68">
        <f t="shared" si="99"/>
        <v>800</v>
      </c>
      <c r="W68">
        <f t="shared" si="99"/>
        <v>800</v>
      </c>
      <c r="X68">
        <f t="shared" si="99"/>
        <v>900</v>
      </c>
      <c r="Y68">
        <f t="shared" si="99"/>
        <v>850</v>
      </c>
      <c r="Z68">
        <f t="shared" si="99"/>
        <v>900</v>
      </c>
      <c r="AA68">
        <f t="shared" si="99"/>
        <v>1000</v>
      </c>
      <c r="AB68">
        <f t="shared" si="99"/>
        <v>950</v>
      </c>
      <c r="AC68">
        <f t="shared" si="99"/>
        <v>800</v>
      </c>
      <c r="AD68">
        <f t="shared" si="99"/>
        <v>800</v>
      </c>
      <c r="AE68">
        <f t="shared" si="99"/>
        <v>800</v>
      </c>
      <c r="AF68">
        <f t="shared" si="99"/>
        <v>650</v>
      </c>
      <c r="AG68">
        <f t="shared" si="99"/>
        <v>600</v>
      </c>
      <c r="AH68">
        <f t="shared" si="99"/>
        <v>600</v>
      </c>
      <c r="AI68">
        <f t="shared" si="99"/>
        <v>450</v>
      </c>
      <c r="AJ68">
        <f t="shared" si="99"/>
        <v>300</v>
      </c>
      <c r="AK68">
        <f t="shared" si="99"/>
        <v>300</v>
      </c>
      <c r="AL68">
        <f t="shared" si="99"/>
        <v>300</v>
      </c>
      <c r="AM68">
        <f t="shared" si="99"/>
        <v>150</v>
      </c>
      <c r="AN68">
        <f t="shared" si="99"/>
        <v>100</v>
      </c>
      <c r="AO68">
        <f t="shared" si="99"/>
        <v>100</v>
      </c>
    </row>
    <row r="69" spans="1:45" x14ac:dyDescent="0.35">
      <c r="A69">
        <v>69</v>
      </c>
      <c r="B69" t="s">
        <v>17</v>
      </c>
      <c r="C69">
        <f>G59</f>
        <v>0</v>
      </c>
      <c r="D69">
        <f t="shared" ref="D69:AO69" si="100">H59</f>
        <v>0</v>
      </c>
      <c r="E69">
        <f t="shared" si="100"/>
        <v>0</v>
      </c>
      <c r="F69">
        <f t="shared" si="100"/>
        <v>0</v>
      </c>
      <c r="G69">
        <f t="shared" si="100"/>
        <v>0</v>
      </c>
      <c r="H69">
        <f t="shared" si="100"/>
        <v>0</v>
      </c>
      <c r="I69">
        <f t="shared" si="100"/>
        <v>0</v>
      </c>
      <c r="J69">
        <f t="shared" si="100"/>
        <v>0</v>
      </c>
      <c r="K69">
        <f t="shared" si="100"/>
        <v>0</v>
      </c>
      <c r="L69">
        <f t="shared" si="100"/>
        <v>0</v>
      </c>
      <c r="M69">
        <f t="shared" si="100"/>
        <v>0</v>
      </c>
      <c r="N69">
        <f t="shared" si="100"/>
        <v>500</v>
      </c>
      <c r="O69">
        <f t="shared" si="100"/>
        <v>350</v>
      </c>
      <c r="P69">
        <f t="shared" si="100"/>
        <v>350</v>
      </c>
      <c r="Q69">
        <f t="shared" si="100"/>
        <v>350</v>
      </c>
      <c r="R69">
        <f t="shared" si="100"/>
        <v>200</v>
      </c>
      <c r="S69">
        <f t="shared" si="100"/>
        <v>50</v>
      </c>
      <c r="T69">
        <f t="shared" si="100"/>
        <v>500</v>
      </c>
      <c r="U69">
        <f t="shared" si="100"/>
        <v>350</v>
      </c>
      <c r="V69">
        <f t="shared" si="100"/>
        <v>200</v>
      </c>
      <c r="W69">
        <f t="shared" si="100"/>
        <v>200</v>
      </c>
      <c r="X69">
        <f t="shared" si="100"/>
        <v>200</v>
      </c>
      <c r="Y69">
        <f t="shared" si="100"/>
        <v>50</v>
      </c>
      <c r="Z69">
        <f t="shared" si="100"/>
        <v>0</v>
      </c>
      <c r="AA69">
        <f t="shared" si="100"/>
        <v>500</v>
      </c>
      <c r="AB69">
        <f t="shared" si="100"/>
        <v>350</v>
      </c>
      <c r="AC69">
        <f t="shared" si="100"/>
        <v>200</v>
      </c>
      <c r="AD69">
        <f t="shared" si="100"/>
        <v>200</v>
      </c>
      <c r="AE69">
        <f t="shared" si="100"/>
        <v>200</v>
      </c>
      <c r="AF69">
        <f t="shared" si="100"/>
        <v>50</v>
      </c>
      <c r="AG69">
        <f t="shared" si="100"/>
        <v>0</v>
      </c>
      <c r="AH69">
        <f t="shared" si="100"/>
        <v>500</v>
      </c>
      <c r="AI69">
        <f t="shared" si="100"/>
        <v>350</v>
      </c>
      <c r="AJ69">
        <f t="shared" si="100"/>
        <v>200</v>
      </c>
      <c r="AK69">
        <f t="shared" si="100"/>
        <v>200</v>
      </c>
      <c r="AL69">
        <f t="shared" si="100"/>
        <v>200</v>
      </c>
      <c r="AM69">
        <f t="shared" si="100"/>
        <v>50</v>
      </c>
      <c r="AN69">
        <f t="shared" si="100"/>
        <v>0</v>
      </c>
      <c r="AO69">
        <f t="shared" si="100"/>
        <v>0</v>
      </c>
    </row>
    <row r="70" spans="1:45" x14ac:dyDescent="0.35">
      <c r="A70">
        <v>70</v>
      </c>
    </row>
    <row r="71" spans="1:45" x14ac:dyDescent="0.35">
      <c r="A71">
        <v>71</v>
      </c>
    </row>
    <row r="72" spans="1:45" x14ac:dyDescent="0.35">
      <c r="A72">
        <v>72</v>
      </c>
    </row>
    <row r="73" spans="1:45" x14ac:dyDescent="0.35">
      <c r="A73">
        <v>73</v>
      </c>
    </row>
    <row r="74" spans="1:45" x14ac:dyDescent="0.35">
      <c r="A74">
        <v>74</v>
      </c>
    </row>
    <row r="75" spans="1:45" x14ac:dyDescent="0.35">
      <c r="A75">
        <v>75</v>
      </c>
    </row>
    <row r="76" spans="1:45" x14ac:dyDescent="0.35">
      <c r="A76">
        <v>76</v>
      </c>
    </row>
    <row r="77" spans="1:45" x14ac:dyDescent="0.35">
      <c r="A77">
        <v>77</v>
      </c>
    </row>
    <row r="78" spans="1:45" x14ac:dyDescent="0.35">
      <c r="A78">
        <v>78</v>
      </c>
    </row>
    <row r="79" spans="1:45" x14ac:dyDescent="0.35">
      <c r="A79">
        <v>79</v>
      </c>
    </row>
    <row r="80" spans="1:45" x14ac:dyDescent="0.35">
      <c r="A80">
        <v>80</v>
      </c>
    </row>
    <row r="81" spans="1:1" x14ac:dyDescent="0.35">
      <c r="A81">
        <v>81</v>
      </c>
    </row>
    <row r="82" spans="1:1" x14ac:dyDescent="0.35">
      <c r="A82">
        <v>82</v>
      </c>
    </row>
    <row r="83" spans="1:1" x14ac:dyDescent="0.35">
      <c r="A83">
        <v>83</v>
      </c>
    </row>
    <row r="84" spans="1:1" x14ac:dyDescent="0.35">
      <c r="A84">
        <v>84</v>
      </c>
    </row>
    <row r="85" spans="1:1" x14ac:dyDescent="0.35">
      <c r="A85">
        <v>85</v>
      </c>
    </row>
    <row r="86" spans="1:1" x14ac:dyDescent="0.35">
      <c r="A86">
        <v>86</v>
      </c>
    </row>
    <row r="87" spans="1:1" x14ac:dyDescent="0.35">
      <c r="A87">
        <v>87</v>
      </c>
    </row>
    <row r="88" spans="1:1" x14ac:dyDescent="0.35">
      <c r="A88">
        <v>88</v>
      </c>
    </row>
    <row r="89" spans="1:1" x14ac:dyDescent="0.35">
      <c r="A89">
        <v>89</v>
      </c>
    </row>
    <row r="90" spans="1:1" x14ac:dyDescent="0.35">
      <c r="A90">
        <v>90</v>
      </c>
    </row>
    <row r="91" spans="1:1" x14ac:dyDescent="0.35">
      <c r="A91">
        <v>91</v>
      </c>
    </row>
    <row r="92" spans="1:1" x14ac:dyDescent="0.35">
      <c r="A92">
        <v>92</v>
      </c>
    </row>
    <row r="93" spans="1:1" x14ac:dyDescent="0.35">
      <c r="A93">
        <v>93</v>
      </c>
    </row>
    <row r="94" spans="1:1" x14ac:dyDescent="0.35">
      <c r="A94">
        <v>94</v>
      </c>
    </row>
    <row r="95" spans="1:1" x14ac:dyDescent="0.35">
      <c r="A95">
        <v>95</v>
      </c>
    </row>
    <row r="96" spans="1:1" x14ac:dyDescent="0.35">
      <c r="A96">
        <v>96</v>
      </c>
    </row>
    <row r="97" spans="1:1" x14ac:dyDescent="0.35">
      <c r="A97">
        <v>97</v>
      </c>
    </row>
    <row r="98" spans="1:1" x14ac:dyDescent="0.35">
      <c r="A98">
        <v>98</v>
      </c>
    </row>
    <row r="99" spans="1:1" x14ac:dyDescent="0.35">
      <c r="A99">
        <v>99</v>
      </c>
    </row>
    <row r="100" spans="1:1" x14ac:dyDescent="0.35">
      <c r="A100">
        <v>100</v>
      </c>
    </row>
  </sheetData>
  <phoneticPr fontId="4" type="noConversion"/>
  <printOptions gridLines="1"/>
  <pageMargins left="0.25" right="0.25" top="0.75" bottom="0.75" header="0.3" footer="0.3"/>
  <pageSetup paperSize="8" scale="39" orientation="landscape" horizontalDpi="4294967293" verticalDpi="429496729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"/>
    </sheetView>
  </sheetViews>
  <sheetFormatPr baseColWidth="10" defaultRowHeight="14.5" x14ac:dyDescent="0.35"/>
  <sheetData>
    <row r="1" spans="1:2" x14ac:dyDescent="0.35">
      <c r="A1" t="s">
        <v>1</v>
      </c>
      <c r="B1">
        <f>WEEKDAY(Beispiel!H3,2)</f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Beispiel</vt:lpstr>
      <vt:lpstr>Stammdaten</vt:lpstr>
      <vt:lpstr>Tabelle3</vt:lpstr>
    </vt:vector>
  </TitlesOfParts>
  <Company>Fraunhofer IML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Wagenitz, Axel</dc:creator>
  <cp:lastModifiedBy>Axel Wagenitz</cp:lastModifiedBy>
  <cp:lastPrinted>2015-05-05T05:20:42Z</cp:lastPrinted>
  <dcterms:created xsi:type="dcterms:W3CDTF">2014-10-09T11:22:48Z</dcterms:created>
  <dcterms:modified xsi:type="dcterms:W3CDTF">2024-04-30T13:12:21Z</dcterms:modified>
</cp:coreProperties>
</file>